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105" windowWidth="17235" windowHeight="13095"/>
  </bookViews>
  <sheets>
    <sheet name="RRSP" sheetId="1" r:id="rId1"/>
    <sheet name="Compare" sheetId="2" r:id="rId2"/>
  </sheets>
  <calcPr calcId="145621"/>
</workbook>
</file>

<file path=xl/calcChain.xml><?xml version="1.0" encoding="utf-8"?>
<calcChain xmlns="http://schemas.openxmlformats.org/spreadsheetml/2006/main">
  <c r="R2" i="2" l="1"/>
  <c r="X2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29" i="2"/>
  <c r="X28" i="2"/>
  <c r="X26" i="2"/>
  <c r="X25" i="2"/>
  <c r="X21" i="2"/>
  <c r="X20" i="2"/>
  <c r="X18" i="2"/>
  <c r="X17" i="2"/>
  <c r="X14" i="2"/>
  <c r="X13" i="2"/>
  <c r="X12" i="2"/>
  <c r="X10" i="2"/>
  <c r="X9" i="2"/>
  <c r="X6" i="2"/>
  <c r="X32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L2" i="2"/>
  <c r="L32" i="2" s="1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0" i="2"/>
  <c r="L29" i="2"/>
  <c r="L28" i="2"/>
  <c r="L26" i="2"/>
  <c r="L25" i="2"/>
  <c r="L22" i="2"/>
  <c r="L21" i="2"/>
  <c r="L20" i="2"/>
  <c r="L18" i="2"/>
  <c r="L17" i="2"/>
  <c r="L14" i="2"/>
  <c r="L13" i="2"/>
  <c r="L12" i="2"/>
  <c r="L10" i="2"/>
  <c r="L9" i="2"/>
  <c r="L7" i="2"/>
  <c r="L6" i="2"/>
  <c r="L5" i="2"/>
  <c r="L4" i="2"/>
  <c r="X11" i="2" l="1"/>
  <c r="X19" i="2"/>
  <c r="X27" i="2"/>
  <c r="X22" i="2"/>
  <c r="X7" i="2"/>
  <c r="X15" i="2"/>
  <c r="X23" i="2"/>
  <c r="X31" i="2"/>
  <c r="X30" i="2"/>
  <c r="X8" i="2"/>
  <c r="X16" i="2"/>
  <c r="X24" i="2"/>
  <c r="L11" i="2"/>
  <c r="L19" i="2"/>
  <c r="L27" i="2"/>
  <c r="L15" i="2"/>
  <c r="L23" i="2"/>
  <c r="L31" i="2"/>
  <c r="L8" i="2"/>
  <c r="L16" i="2"/>
  <c r="L24" i="2"/>
</calcChain>
</file>

<file path=xl/sharedStrings.xml><?xml version="1.0" encoding="utf-8"?>
<sst xmlns="http://schemas.openxmlformats.org/spreadsheetml/2006/main" count="127" uniqueCount="60">
  <si>
    <t>Begin</t>
  </si>
  <si>
    <t>End</t>
  </si>
  <si>
    <t>Return</t>
  </si>
  <si>
    <t>Value</t>
  </si>
  <si>
    <t>-----------</t>
  </si>
  <si>
    <t>------</t>
  </si>
  <si>
    <t>-------</t>
  </si>
  <si>
    <t>OSPTX</t>
  </si>
  <si>
    <t>.IXIC</t>
  </si>
  <si>
    <t>.DJI</t>
  </si>
  <si>
    <t>.INX</t>
  </si>
  <si>
    <t>C:\HOME\investments\RRSP_details.txt</t>
  </si>
  <si>
    <t>CCM229</t>
  </si>
  <si>
    <t>MFC1042</t>
  </si>
  <si>
    <t>MFC1646</t>
  </si>
  <si>
    <t>MFC083</t>
  </si>
  <si>
    <t>MGW490</t>
  </si>
  <si>
    <t>BGEAX</t>
  </si>
  <si>
    <t>XTR</t>
  </si>
  <si>
    <t>BMO</t>
  </si>
  <si>
    <t>BIP101</t>
  </si>
  <si>
    <t>MFC2387</t>
  </si>
  <si>
    <t>ATL1860</t>
  </si>
  <si>
    <t>AGF249</t>
  </si>
  <si>
    <t>BIP171</t>
  </si>
  <si>
    <t>AGF254</t>
  </si>
  <si>
    <t>ATL670</t>
  </si>
  <si>
    <t>MFC2710</t>
  </si>
  <si>
    <t>RBF563</t>
  </si>
  <si>
    <t>GGF70136</t>
  </si>
  <si>
    <t>XIU</t>
  </si>
  <si>
    <t>TDB652</t>
  </si>
  <si>
    <t>RY</t>
  </si>
  <si>
    <t>FID048</t>
  </si>
  <si>
    <t>RBF130</t>
  </si>
  <si>
    <t>MCD</t>
  </si>
  <si>
    <t>CGR</t>
  </si>
  <si>
    <t>XSP</t>
  </si>
  <si>
    <t>BNS</t>
  </si>
  <si>
    <t>HKB505</t>
  </si>
  <si>
    <t>T</t>
  </si>
  <si>
    <t>TDB976</t>
  </si>
  <si>
    <t>TD</t>
  </si>
  <si>
    <t>JE</t>
  </si>
  <si>
    <t>XIV</t>
  </si>
  <si>
    <t>ENF</t>
  </si>
  <si>
    <t>TDB030</t>
  </si>
  <si>
    <t>XEG</t>
  </si>
  <si>
    <t>SCO</t>
  </si>
  <si>
    <t>OIL</t>
  </si>
  <si>
    <t>BPO-C</t>
  </si>
  <si>
    <t>AD</t>
  </si>
  <si>
    <t>SRV.UN</t>
  </si>
  <si>
    <t>--------</t>
  </si>
  <si>
    <t>-----</t>
  </si>
  <si>
    <t>----</t>
  </si>
  <si>
    <t>C:\HOME\investments\Benchmark.txt</t>
  </si>
  <si>
    <t>C:\HOME\investments\RRSP.txt</t>
  </si>
  <si>
    <t>C:\HOME\investments\Calvin.txt</t>
  </si>
  <si>
    <t>C:\HOME\investments\Tania.txt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</si>
</sst>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5" formatCode="_(* #,##0_);_(* \(#,##0\);_(* &quot;-&quot;??_);_(@_)"/>
    <numFmt numFmtId="167" formatCode="_(* #,##0.00_);[Red]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15" fontId="0" fillId="0" borderId="0" xfId="0" applyNumberFormat="1"/>
    <xf numFmtId="43" fontId="0" fillId="0" borderId="0" xfId="1" applyFont="1"/>
    <xf numFmtId="165" fontId="0" fillId="0" borderId="0" xfId="1" applyNumberFormat="1" applyFont="1"/>
    <xf numFmtId="167" fontId="0" fillId="0" borderId="0" xfId="0" applyNumberFormat="1"/>
    <xf numFmtId="15" fontId="0" fillId="0" borderId="0" xfId="1" applyNumberFormat="1" applyFont="1" applyAlignment="1">
      <alignment horizontal="left"/>
    </xf>
    <xf numFmtId="167" fontId="0" fillId="0" borderId="0" xfId="1" applyNumberFormat="1" applyFont="1"/>
    <xf numFmtId="167" fontId="0" fillId="33" borderId="0" xfId="0" applyNumberFormat="1" applyFill="1"/>
    <xf numFmtId="15" fontId="0" fillId="0" borderId="10" xfId="0" applyNumberFormat="1" applyBorder="1"/>
    <xf numFmtId="15" fontId="0" fillId="0" borderId="11" xfId="0" applyNumberFormat="1" applyBorder="1"/>
    <xf numFmtId="167" fontId="0" fillId="0" borderId="11" xfId="1" applyNumberFormat="1" applyFont="1" applyBorder="1"/>
    <xf numFmtId="165" fontId="0" fillId="0" borderId="11" xfId="1" applyNumberFormat="1" applyFont="1" applyBorder="1"/>
    <xf numFmtId="0" fontId="0" fillId="0" borderId="12" xfId="0" applyBorder="1"/>
    <xf numFmtId="15" fontId="0" fillId="0" borderId="13" xfId="0" applyNumberFormat="1" applyBorder="1"/>
    <xf numFmtId="15" fontId="0" fillId="0" borderId="14" xfId="0" applyNumberFormat="1" applyBorder="1"/>
    <xf numFmtId="167" fontId="0" fillId="0" borderId="14" xfId="1" applyNumberFormat="1" applyFont="1" applyBorder="1"/>
    <xf numFmtId="165" fontId="0" fillId="0" borderId="14" xfId="1" applyNumberFormat="1" applyFont="1" applyBorder="1"/>
    <xf numFmtId="167" fontId="0" fillId="33" borderId="15" xfId="0" applyNumberFormat="1" applyFill="1" applyBorder="1"/>
    <xf numFmtId="0" fontId="0" fillId="0" borderId="15" xfId="0" applyBorder="1"/>
    <xf numFmtId="167" fontId="0" fillId="0" borderId="15" xfId="0" applyNumberFormat="1" applyBorder="1"/>
    <xf numFmtId="15" fontId="0" fillId="0" borderId="16" xfId="0" applyNumberFormat="1" applyBorder="1"/>
    <xf numFmtId="15" fontId="0" fillId="0" borderId="17" xfId="0" applyNumberFormat="1" applyBorder="1"/>
    <xf numFmtId="167" fontId="0" fillId="0" borderId="17" xfId="1" applyNumberFormat="1" applyFont="1" applyBorder="1"/>
    <xf numFmtId="165" fontId="0" fillId="0" borderId="17" xfId="1" applyNumberFormat="1" applyFont="1" applyBorder="1"/>
    <xf numFmtId="167" fontId="0" fillId="0" borderId="18" xfId="0" applyNumberFormat="1" applyBorder="1"/>
    <xf numFmtId="0" fontId="0" fillId="34" borderId="0" xfId="0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230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5" x14ac:dyDescent="0.25"/>
  <cols>
    <col min="1" max="2" width="9.85546875" style="1" bestFit="1" customWidth="1"/>
    <col min="3" max="8" width="9.42578125" bestFit="1" customWidth="1"/>
    <col min="9" max="9" width="9.5703125" bestFit="1" customWidth="1"/>
    <col min="10" max="14" width="9.42578125" bestFit="1" customWidth="1"/>
    <col min="15" max="15" width="9.7109375" bestFit="1" customWidth="1"/>
    <col min="16" max="43" width="9.42578125" bestFit="1" customWidth="1"/>
    <col min="44" max="55" width="9.28515625" bestFit="1" customWidth="1"/>
  </cols>
  <sheetData>
    <row r="1" spans="1:55" x14ac:dyDescent="0.25">
      <c r="A1" s="5" t="s">
        <v>11</v>
      </c>
    </row>
    <row r="2" spans="1:55" x14ac:dyDescent="0.25">
      <c r="A2" s="1" t="s">
        <v>0</v>
      </c>
      <c r="B2" s="1" t="s">
        <v>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  <c r="S2" t="s">
        <v>28</v>
      </c>
      <c r="T2" t="s">
        <v>29</v>
      </c>
      <c r="U2" t="s">
        <v>30</v>
      </c>
      <c r="V2" t="s">
        <v>31</v>
      </c>
      <c r="W2" t="s">
        <v>32</v>
      </c>
      <c r="X2" t="s">
        <v>33</v>
      </c>
      <c r="Y2" t="s">
        <v>34</v>
      </c>
      <c r="Z2" t="s">
        <v>35</v>
      </c>
      <c r="AA2" t="s">
        <v>36</v>
      </c>
      <c r="AB2" t="s">
        <v>37</v>
      </c>
      <c r="AC2" t="s">
        <v>38</v>
      </c>
      <c r="AD2" t="s">
        <v>39</v>
      </c>
      <c r="AE2" t="s">
        <v>40</v>
      </c>
      <c r="AF2" t="s">
        <v>41</v>
      </c>
      <c r="AG2" t="s">
        <v>42</v>
      </c>
      <c r="AH2" t="s">
        <v>43</v>
      </c>
      <c r="AI2" t="s">
        <v>44</v>
      </c>
      <c r="AJ2" t="s">
        <v>45</v>
      </c>
      <c r="AK2" t="s">
        <v>46</v>
      </c>
      <c r="AL2" t="s">
        <v>47</v>
      </c>
      <c r="AM2" t="s">
        <v>48</v>
      </c>
      <c r="AN2" t="s">
        <v>49</v>
      </c>
      <c r="AO2" t="s">
        <v>50</v>
      </c>
      <c r="AP2" t="s">
        <v>51</v>
      </c>
      <c r="AQ2" t="s">
        <v>52</v>
      </c>
    </row>
    <row r="3" spans="1:55" x14ac:dyDescent="0.25">
      <c r="A3" s="1" t="s">
        <v>4</v>
      </c>
      <c r="B3" s="1" t="s">
        <v>4</v>
      </c>
      <c r="C3" t="s">
        <v>5</v>
      </c>
      <c r="D3" t="s">
        <v>6</v>
      </c>
      <c r="E3" t="s">
        <v>6</v>
      </c>
      <c r="F3" t="s">
        <v>5</v>
      </c>
      <c r="G3" t="s">
        <v>5</v>
      </c>
      <c r="H3" t="s">
        <v>54</v>
      </c>
      <c r="I3" t="s">
        <v>55</v>
      </c>
      <c r="J3" t="s">
        <v>5</v>
      </c>
      <c r="K3" t="s">
        <v>5</v>
      </c>
      <c r="L3" t="s">
        <v>6</v>
      </c>
      <c r="M3" t="s">
        <v>6</v>
      </c>
      <c r="N3" t="s">
        <v>5</v>
      </c>
      <c r="O3" t="s">
        <v>5</v>
      </c>
      <c r="P3" t="s">
        <v>5</v>
      </c>
      <c r="Q3" t="s">
        <v>5</v>
      </c>
      <c r="R3" t="s">
        <v>6</v>
      </c>
      <c r="S3" t="s">
        <v>5</v>
      </c>
      <c r="T3" t="s">
        <v>53</v>
      </c>
      <c r="U3" t="s">
        <v>5</v>
      </c>
      <c r="V3" t="s">
        <v>5</v>
      </c>
      <c r="W3" t="s">
        <v>5</v>
      </c>
      <c r="X3" t="s">
        <v>5</v>
      </c>
      <c r="Y3" t="s">
        <v>5</v>
      </c>
      <c r="Z3" t="s">
        <v>54</v>
      </c>
      <c r="AA3" t="s">
        <v>54</v>
      </c>
      <c r="AB3" t="s">
        <v>55</v>
      </c>
      <c r="AC3" t="s">
        <v>5</v>
      </c>
      <c r="AD3" t="s">
        <v>5</v>
      </c>
      <c r="AE3" t="s">
        <v>54</v>
      </c>
      <c r="AF3" t="s">
        <v>5</v>
      </c>
      <c r="AG3" t="s">
        <v>54</v>
      </c>
      <c r="AH3" t="s">
        <v>5</v>
      </c>
      <c r="AI3" t="s">
        <v>5</v>
      </c>
      <c r="AJ3" t="s">
        <v>54</v>
      </c>
      <c r="AK3" t="s">
        <v>5</v>
      </c>
      <c r="AL3" t="s">
        <v>54</v>
      </c>
      <c r="AM3" t="s">
        <v>5</v>
      </c>
      <c r="AN3" t="s">
        <v>55</v>
      </c>
      <c r="AO3" t="s">
        <v>54</v>
      </c>
      <c r="AP3" t="s">
        <v>5</v>
      </c>
      <c r="AQ3" t="s">
        <v>5</v>
      </c>
    </row>
    <row r="4" spans="1:55" x14ac:dyDescent="0.25">
      <c r="A4" s="1">
        <v>40179</v>
      </c>
      <c r="B4" s="1">
        <v>40269</v>
      </c>
      <c r="C4" s="6">
        <v>0</v>
      </c>
      <c r="D4" s="6">
        <v>37.01</v>
      </c>
      <c r="E4" s="6">
        <v>4.6399999999999997</v>
      </c>
      <c r="F4" s="6">
        <v>0</v>
      </c>
      <c r="G4" s="6">
        <v>4.1900000000000004</v>
      </c>
      <c r="H4" s="6">
        <v>0</v>
      </c>
      <c r="I4" s="6">
        <v>0</v>
      </c>
      <c r="J4" s="6">
        <v>0</v>
      </c>
      <c r="K4" s="6">
        <v>0</v>
      </c>
      <c r="L4" s="6">
        <v>7.66</v>
      </c>
      <c r="M4" s="6">
        <v>-3.86</v>
      </c>
      <c r="N4" s="6">
        <v>-82.67</v>
      </c>
      <c r="O4" s="6">
        <v>-0.44</v>
      </c>
      <c r="P4" s="6">
        <v>8.26</v>
      </c>
      <c r="Q4" s="6">
        <v>6.43</v>
      </c>
      <c r="R4" s="6">
        <v>-15.98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/>
      <c r="AS4" s="6"/>
      <c r="AT4" s="6"/>
      <c r="AU4" s="6"/>
      <c r="AV4" s="6"/>
      <c r="AW4" s="2"/>
      <c r="AX4" s="2"/>
      <c r="AY4" s="2"/>
      <c r="AZ4" s="2"/>
      <c r="BA4" s="2"/>
      <c r="BB4" s="2"/>
      <c r="BC4" s="2"/>
    </row>
    <row r="5" spans="1:55" x14ac:dyDescent="0.25">
      <c r="A5" s="1">
        <v>40269</v>
      </c>
      <c r="B5" s="1">
        <v>40360</v>
      </c>
      <c r="C5" s="6">
        <v>0</v>
      </c>
      <c r="D5" s="6">
        <v>5.3</v>
      </c>
      <c r="E5" s="6">
        <v>-13.03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-2.93</v>
      </c>
      <c r="M5" s="6">
        <v>0</v>
      </c>
      <c r="N5" s="6">
        <v>0</v>
      </c>
      <c r="O5" s="6">
        <v>-5.88</v>
      </c>
      <c r="P5" s="6">
        <v>-0.19</v>
      </c>
      <c r="Q5" s="6">
        <v>-4.9000000000000004</v>
      </c>
      <c r="R5" s="6">
        <v>-5.58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0</v>
      </c>
      <c r="AR5" s="6"/>
      <c r="AS5" s="6"/>
      <c r="AT5" s="6"/>
      <c r="AU5" s="6"/>
      <c r="AV5" s="6"/>
      <c r="AW5" s="2"/>
      <c r="AX5" s="2"/>
      <c r="AY5" s="2"/>
      <c r="AZ5" s="2"/>
      <c r="BA5" s="2"/>
      <c r="BB5" s="2"/>
      <c r="BC5" s="2"/>
    </row>
    <row r="6" spans="1:55" x14ac:dyDescent="0.25">
      <c r="A6" s="1">
        <v>40360</v>
      </c>
      <c r="B6" s="1">
        <v>40452</v>
      </c>
      <c r="C6" s="6">
        <v>0</v>
      </c>
      <c r="D6" s="6">
        <v>18.84</v>
      </c>
      <c r="E6" s="6">
        <v>16.239999999999998</v>
      </c>
      <c r="F6" s="6">
        <v>0</v>
      </c>
      <c r="G6" s="6">
        <v>0</v>
      </c>
      <c r="H6" s="6">
        <v>0</v>
      </c>
      <c r="I6" s="6">
        <v>0</v>
      </c>
      <c r="J6" s="6">
        <v>-5.44</v>
      </c>
      <c r="K6" s="6">
        <v>0</v>
      </c>
      <c r="L6" s="6">
        <v>17.760000000000002</v>
      </c>
      <c r="M6" s="6">
        <v>0</v>
      </c>
      <c r="N6" s="6">
        <v>0</v>
      </c>
      <c r="O6" s="6">
        <v>11.38</v>
      </c>
      <c r="P6" s="6">
        <v>14.85</v>
      </c>
      <c r="Q6" s="6">
        <v>15.3</v>
      </c>
      <c r="R6" s="6">
        <v>11.05</v>
      </c>
      <c r="S6" s="6">
        <v>1.27</v>
      </c>
      <c r="T6" s="6">
        <v>8.9</v>
      </c>
      <c r="U6" s="6">
        <v>-1.02</v>
      </c>
      <c r="V6" s="6">
        <v>6</v>
      </c>
      <c r="W6" s="6">
        <v>-1.66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/>
      <c r="AS6" s="6"/>
      <c r="AT6" s="6"/>
      <c r="AU6" s="6"/>
      <c r="AV6" s="6"/>
      <c r="AW6" s="2"/>
      <c r="AX6" s="2"/>
      <c r="AY6" s="2"/>
      <c r="AZ6" s="2"/>
      <c r="BA6" s="2"/>
      <c r="BB6" s="2"/>
      <c r="BC6" s="2"/>
    </row>
    <row r="7" spans="1:55" x14ac:dyDescent="0.25">
      <c r="A7" s="1">
        <v>40452</v>
      </c>
      <c r="B7" s="1">
        <v>40544</v>
      </c>
      <c r="C7" s="6">
        <v>0</v>
      </c>
      <c r="D7" s="6">
        <v>11.85</v>
      </c>
      <c r="E7" s="6">
        <v>24.65</v>
      </c>
      <c r="F7" s="6">
        <v>0</v>
      </c>
      <c r="G7" s="6">
        <v>0</v>
      </c>
      <c r="H7" s="6">
        <v>0</v>
      </c>
      <c r="I7" s="6">
        <v>0</v>
      </c>
      <c r="J7" s="6">
        <v>-0.88</v>
      </c>
      <c r="K7" s="6">
        <v>0</v>
      </c>
      <c r="L7" s="6">
        <v>12.45</v>
      </c>
      <c r="M7" s="6">
        <v>0</v>
      </c>
      <c r="N7" s="6">
        <v>0</v>
      </c>
      <c r="O7" s="6">
        <v>5.09</v>
      </c>
      <c r="P7" s="6">
        <v>1.03</v>
      </c>
      <c r="Q7" s="6">
        <v>15.01</v>
      </c>
      <c r="R7" s="6">
        <v>1.1200000000000001</v>
      </c>
      <c r="S7" s="6">
        <v>-1.52</v>
      </c>
      <c r="T7" s="6">
        <v>20.55</v>
      </c>
      <c r="U7" s="6">
        <v>7.47</v>
      </c>
      <c r="V7" s="6">
        <v>7.32</v>
      </c>
      <c r="W7" s="6">
        <v>-0.63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/>
      <c r="AS7" s="6"/>
      <c r="AT7" s="6"/>
      <c r="AU7" s="6"/>
      <c r="AV7" s="6"/>
      <c r="AW7" s="2"/>
      <c r="AX7" s="2"/>
      <c r="AY7" s="2"/>
      <c r="AZ7" s="2"/>
      <c r="BA7" s="2"/>
      <c r="BB7" s="2"/>
      <c r="BC7" s="2"/>
    </row>
    <row r="8" spans="1:55" x14ac:dyDescent="0.25">
      <c r="A8" s="1">
        <v>40544</v>
      </c>
      <c r="B8" s="1">
        <v>40634</v>
      </c>
      <c r="C8" s="6">
        <v>0</v>
      </c>
      <c r="D8" s="6">
        <v>-5.31</v>
      </c>
      <c r="E8" s="6">
        <v>11.42</v>
      </c>
      <c r="F8" s="6">
        <v>0</v>
      </c>
      <c r="G8" s="6">
        <v>0</v>
      </c>
      <c r="H8" s="6">
        <v>0</v>
      </c>
      <c r="I8" s="6">
        <v>0</v>
      </c>
      <c r="J8" s="6">
        <v>14.68</v>
      </c>
      <c r="K8" s="6">
        <v>0</v>
      </c>
      <c r="L8" s="6">
        <v>-5.52</v>
      </c>
      <c r="M8" s="6">
        <v>0</v>
      </c>
      <c r="N8" s="6">
        <v>0</v>
      </c>
      <c r="O8" s="6">
        <v>0.76</v>
      </c>
      <c r="P8" s="6">
        <v>-3.51</v>
      </c>
      <c r="Q8" s="6">
        <v>3.14</v>
      </c>
      <c r="R8" s="6">
        <v>4.17</v>
      </c>
      <c r="S8" s="6">
        <v>-1.44</v>
      </c>
      <c r="T8" s="6">
        <v>-0.44</v>
      </c>
      <c r="U8" s="6">
        <v>5.6</v>
      </c>
      <c r="V8" s="6">
        <v>4.2300000000000004</v>
      </c>
      <c r="W8" s="6">
        <v>20.28</v>
      </c>
      <c r="X8" s="6">
        <v>0.03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/>
      <c r="AS8" s="6"/>
      <c r="AT8" s="6"/>
      <c r="AU8" s="6"/>
      <c r="AV8" s="6"/>
      <c r="AW8" s="2"/>
      <c r="AX8" s="2"/>
      <c r="AY8" s="2"/>
      <c r="AZ8" s="2"/>
      <c r="BA8" s="2"/>
      <c r="BB8" s="2"/>
      <c r="BC8" s="2"/>
    </row>
    <row r="9" spans="1:55" x14ac:dyDescent="0.25">
      <c r="A9" s="1">
        <v>40634</v>
      </c>
      <c r="B9" s="1">
        <v>40725</v>
      </c>
      <c r="C9" s="6">
        <v>0</v>
      </c>
      <c r="D9" s="6">
        <v>-9.81</v>
      </c>
      <c r="E9" s="6">
        <v>-8</v>
      </c>
      <c r="F9" s="6">
        <v>0</v>
      </c>
      <c r="G9" s="6">
        <v>0</v>
      </c>
      <c r="H9" s="6">
        <v>0</v>
      </c>
      <c r="I9" s="6">
        <v>0</v>
      </c>
      <c r="J9" s="6">
        <v>-2.54</v>
      </c>
      <c r="K9" s="6">
        <v>0</v>
      </c>
      <c r="L9" s="6">
        <v>-3.87</v>
      </c>
      <c r="M9" s="6">
        <v>0</v>
      </c>
      <c r="N9" s="6">
        <v>0</v>
      </c>
      <c r="O9" s="6">
        <v>-2.64</v>
      </c>
      <c r="P9" s="6">
        <v>-1.73</v>
      </c>
      <c r="Q9" s="6">
        <v>-6.36</v>
      </c>
      <c r="R9" s="6">
        <v>0.38</v>
      </c>
      <c r="S9" s="6">
        <v>1.38</v>
      </c>
      <c r="T9" s="6">
        <v>-9.4600000000000009</v>
      </c>
      <c r="U9" s="6">
        <v>-6.19</v>
      </c>
      <c r="V9" s="6">
        <v>-0.24</v>
      </c>
      <c r="W9" s="6">
        <v>-8.5399999999999991</v>
      </c>
      <c r="X9" s="6">
        <v>-3.9</v>
      </c>
      <c r="Y9" s="6">
        <v>-3.6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/>
      <c r="AS9" s="6"/>
      <c r="AT9" s="6"/>
      <c r="AU9" s="6"/>
      <c r="AV9" s="6"/>
      <c r="AW9" s="2"/>
      <c r="AX9" s="2"/>
      <c r="AY9" s="2"/>
      <c r="AZ9" s="2"/>
      <c r="BA9" s="2"/>
      <c r="BB9" s="2"/>
      <c r="BC9" s="2"/>
    </row>
    <row r="10" spans="1:55" x14ac:dyDescent="0.25">
      <c r="A10" s="1">
        <v>40725</v>
      </c>
      <c r="B10" s="1">
        <v>40817</v>
      </c>
      <c r="C10" s="6">
        <v>0</v>
      </c>
      <c r="D10" s="6">
        <v>-1.23</v>
      </c>
      <c r="E10" s="6">
        <v>-20.7</v>
      </c>
      <c r="F10" s="6">
        <v>0</v>
      </c>
      <c r="G10" s="6">
        <v>0</v>
      </c>
      <c r="H10" s="6">
        <v>0</v>
      </c>
      <c r="I10" s="6">
        <v>0</v>
      </c>
      <c r="J10" s="6">
        <v>-13.2</v>
      </c>
      <c r="K10" s="6">
        <v>0</v>
      </c>
      <c r="L10" s="6">
        <v>-19.7</v>
      </c>
      <c r="M10" s="6">
        <v>0</v>
      </c>
      <c r="N10" s="6">
        <v>0</v>
      </c>
      <c r="O10" s="6">
        <v>-19.39</v>
      </c>
      <c r="P10" s="6">
        <v>-11.2</v>
      </c>
      <c r="Q10" s="6">
        <v>-16.12</v>
      </c>
      <c r="R10" s="6">
        <v>-5.68</v>
      </c>
      <c r="S10" s="6">
        <v>4.3</v>
      </c>
      <c r="T10" s="6">
        <v>-16.09</v>
      </c>
      <c r="U10" s="6">
        <v>-12.82</v>
      </c>
      <c r="V10" s="6">
        <v>-6.68</v>
      </c>
      <c r="W10" s="6">
        <v>-20.63</v>
      </c>
      <c r="X10" s="6">
        <v>-16.809999999999999</v>
      </c>
      <c r="Y10" s="6">
        <v>-10.97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/>
      <c r="AS10" s="6"/>
      <c r="AT10" s="6"/>
      <c r="AU10" s="6"/>
      <c r="AV10" s="6"/>
      <c r="AW10" s="2"/>
      <c r="AX10" s="2"/>
      <c r="AY10" s="2"/>
      <c r="AZ10" s="2"/>
      <c r="BA10" s="2"/>
      <c r="BB10" s="2"/>
      <c r="BC10" s="2"/>
    </row>
    <row r="11" spans="1:55" x14ac:dyDescent="0.25">
      <c r="A11" s="1">
        <v>40817</v>
      </c>
      <c r="B11" s="1">
        <v>40909</v>
      </c>
      <c r="C11" s="6">
        <v>0</v>
      </c>
      <c r="D11" s="6">
        <v>-7.95</v>
      </c>
      <c r="E11" s="6">
        <v>9.16</v>
      </c>
      <c r="F11" s="6">
        <v>0</v>
      </c>
      <c r="G11" s="6">
        <v>0</v>
      </c>
      <c r="H11" s="6">
        <v>0</v>
      </c>
      <c r="I11" s="6">
        <v>0</v>
      </c>
      <c r="J11" s="6">
        <v>-1.86</v>
      </c>
      <c r="K11" s="6">
        <v>0</v>
      </c>
      <c r="L11" s="6">
        <v>-3.64</v>
      </c>
      <c r="M11" s="6">
        <v>0</v>
      </c>
      <c r="N11" s="6">
        <v>0</v>
      </c>
      <c r="O11" s="6">
        <v>0.14000000000000001</v>
      </c>
      <c r="P11" s="6">
        <v>1.39</v>
      </c>
      <c r="Q11" s="6">
        <v>3.87</v>
      </c>
      <c r="R11" s="6">
        <v>5.8</v>
      </c>
      <c r="S11" s="6">
        <v>0.75</v>
      </c>
      <c r="T11" s="6">
        <v>9.3000000000000007</v>
      </c>
      <c r="U11" s="6">
        <v>2.46</v>
      </c>
      <c r="V11" s="6">
        <v>3.41</v>
      </c>
      <c r="W11" s="6">
        <v>11.46</v>
      </c>
      <c r="X11" s="6">
        <v>3.15</v>
      </c>
      <c r="Y11" s="6">
        <v>3.74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/>
      <c r="AS11" s="6"/>
      <c r="AT11" s="6"/>
      <c r="AU11" s="6"/>
      <c r="AV11" s="6"/>
      <c r="AW11" s="2"/>
      <c r="AX11" s="2"/>
      <c r="AY11" s="2"/>
      <c r="AZ11" s="2"/>
      <c r="BA11" s="2"/>
      <c r="BB11" s="2"/>
      <c r="BC11" s="2"/>
    </row>
    <row r="12" spans="1:55" x14ac:dyDescent="0.25">
      <c r="A12" s="1">
        <v>40909</v>
      </c>
      <c r="B12" s="1">
        <v>41000</v>
      </c>
      <c r="C12" s="6">
        <v>0</v>
      </c>
      <c r="D12" s="6">
        <v>-4.91</v>
      </c>
      <c r="E12" s="6">
        <v>0.2</v>
      </c>
      <c r="F12" s="6">
        <v>0</v>
      </c>
      <c r="G12" s="6">
        <v>0</v>
      </c>
      <c r="H12" s="6">
        <v>0</v>
      </c>
      <c r="I12" s="6">
        <v>0</v>
      </c>
      <c r="J12" s="6">
        <v>8.41</v>
      </c>
      <c r="K12" s="6">
        <v>0</v>
      </c>
      <c r="L12" s="6">
        <v>13.62</v>
      </c>
      <c r="M12" s="6">
        <v>0</v>
      </c>
      <c r="N12" s="6">
        <v>0</v>
      </c>
      <c r="O12" s="6">
        <v>12.83</v>
      </c>
      <c r="P12" s="6">
        <v>11.46</v>
      </c>
      <c r="Q12" s="6">
        <v>5.85</v>
      </c>
      <c r="R12" s="6">
        <v>1.35</v>
      </c>
      <c r="S12" s="6">
        <v>-1.36</v>
      </c>
      <c r="T12" s="6">
        <v>6.16</v>
      </c>
      <c r="U12" s="6">
        <v>3.81</v>
      </c>
      <c r="V12" s="6">
        <v>14.39</v>
      </c>
      <c r="W12" s="6">
        <v>13.91</v>
      </c>
      <c r="X12" s="6">
        <v>14.67</v>
      </c>
      <c r="Y12" s="6">
        <v>7.71</v>
      </c>
      <c r="Z12" s="6">
        <v>1.05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/>
      <c r="AS12" s="6"/>
      <c r="AT12" s="6"/>
      <c r="AU12" s="6"/>
      <c r="AV12" s="6"/>
      <c r="AW12" s="2"/>
      <c r="AX12" s="2"/>
      <c r="AY12" s="2"/>
      <c r="AZ12" s="2"/>
      <c r="BA12" s="2"/>
      <c r="BB12" s="2"/>
      <c r="BC12" s="2"/>
    </row>
    <row r="13" spans="1:55" x14ac:dyDescent="0.25">
      <c r="A13" s="1">
        <v>41000</v>
      </c>
      <c r="B13" s="1">
        <v>41091</v>
      </c>
      <c r="C13" s="6">
        <v>0</v>
      </c>
      <c r="D13" s="6">
        <v>-16.25</v>
      </c>
      <c r="E13" s="6">
        <v>-11.83</v>
      </c>
      <c r="F13" s="6">
        <v>0</v>
      </c>
      <c r="G13" s="6">
        <v>0</v>
      </c>
      <c r="H13" s="6">
        <v>0</v>
      </c>
      <c r="I13" s="6">
        <v>0</v>
      </c>
      <c r="J13" s="6">
        <v>-7</v>
      </c>
      <c r="K13" s="6">
        <v>0</v>
      </c>
      <c r="L13" s="6">
        <v>-11.08</v>
      </c>
      <c r="M13" s="6">
        <v>0</v>
      </c>
      <c r="N13" s="6">
        <v>0</v>
      </c>
      <c r="O13" s="6">
        <v>-8.64</v>
      </c>
      <c r="P13" s="6">
        <v>-6.06</v>
      </c>
      <c r="Q13" s="6">
        <v>-15.79</v>
      </c>
      <c r="R13" s="6">
        <v>1.72</v>
      </c>
      <c r="S13" s="6">
        <v>1.53</v>
      </c>
      <c r="T13" s="6">
        <v>-7.59</v>
      </c>
      <c r="U13" s="6">
        <v>-6.26</v>
      </c>
      <c r="V13" s="6">
        <v>-0.77</v>
      </c>
      <c r="W13" s="6">
        <v>-11.77</v>
      </c>
      <c r="X13" s="6">
        <v>-6.05</v>
      </c>
      <c r="Y13" s="6">
        <v>-4.3499999999999996</v>
      </c>
      <c r="Z13" s="6">
        <v>-9.76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/>
      <c r="AS13" s="6"/>
      <c r="AT13" s="6"/>
      <c r="AU13" s="6"/>
      <c r="AV13" s="6"/>
      <c r="AW13" s="2"/>
      <c r="AX13" s="2"/>
      <c r="AY13" s="2"/>
      <c r="AZ13" s="2"/>
      <c r="BA13" s="2"/>
      <c r="BB13" s="2"/>
      <c r="BC13" s="2"/>
    </row>
    <row r="14" spans="1:55" x14ac:dyDescent="0.25">
      <c r="A14" s="1">
        <v>41091</v>
      </c>
      <c r="B14" s="1">
        <v>41183</v>
      </c>
      <c r="C14" s="6">
        <v>0</v>
      </c>
      <c r="D14" s="6">
        <v>19.89</v>
      </c>
      <c r="E14" s="6">
        <v>10.64</v>
      </c>
      <c r="F14" s="6">
        <v>0</v>
      </c>
      <c r="G14" s="6">
        <v>0</v>
      </c>
      <c r="H14" s="6">
        <v>0</v>
      </c>
      <c r="I14" s="6">
        <v>0</v>
      </c>
      <c r="J14" s="6">
        <v>7.37</v>
      </c>
      <c r="K14" s="6">
        <v>0</v>
      </c>
      <c r="L14" s="6">
        <v>3.19</v>
      </c>
      <c r="M14" s="6">
        <v>0</v>
      </c>
      <c r="N14" s="6">
        <v>0</v>
      </c>
      <c r="O14" s="6">
        <v>1.65</v>
      </c>
      <c r="P14" s="6">
        <v>3.55</v>
      </c>
      <c r="Q14" s="6">
        <v>9.8000000000000007</v>
      </c>
      <c r="R14" s="6">
        <v>2.11</v>
      </c>
      <c r="S14" s="6">
        <v>-0.08</v>
      </c>
      <c r="T14" s="6">
        <v>9.98</v>
      </c>
      <c r="U14" s="6">
        <v>6.68</v>
      </c>
      <c r="V14" s="6">
        <v>4.26</v>
      </c>
      <c r="W14" s="6">
        <v>12.87</v>
      </c>
      <c r="X14" s="6">
        <v>5.85</v>
      </c>
      <c r="Y14" s="6">
        <v>5.49</v>
      </c>
      <c r="Z14" s="6">
        <v>3.91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/>
      <c r="AS14" s="6"/>
      <c r="AT14" s="6"/>
      <c r="AU14" s="6"/>
      <c r="AV14" s="6"/>
      <c r="AW14" s="2"/>
      <c r="AX14" s="2"/>
      <c r="AY14" s="2"/>
      <c r="AZ14" s="2"/>
      <c r="BA14" s="2"/>
      <c r="BB14" s="2"/>
      <c r="BC14" s="2"/>
    </row>
    <row r="15" spans="1:55" x14ac:dyDescent="0.25">
      <c r="A15" s="1">
        <v>41183</v>
      </c>
      <c r="B15" s="1">
        <v>41275</v>
      </c>
      <c r="C15" s="6">
        <v>0</v>
      </c>
      <c r="D15" s="6">
        <v>-13.26</v>
      </c>
      <c r="E15" s="6">
        <v>-3.06</v>
      </c>
      <c r="F15" s="6">
        <v>0</v>
      </c>
      <c r="G15" s="6">
        <v>0</v>
      </c>
      <c r="H15" s="6">
        <v>0</v>
      </c>
      <c r="I15" s="6">
        <v>0</v>
      </c>
      <c r="J15" s="6">
        <v>3.32</v>
      </c>
      <c r="K15" s="6">
        <v>0</v>
      </c>
      <c r="L15" s="6">
        <v>7.74</v>
      </c>
      <c r="M15" s="6">
        <v>0</v>
      </c>
      <c r="N15" s="6">
        <v>0</v>
      </c>
      <c r="O15" s="6">
        <v>4.07</v>
      </c>
      <c r="P15" s="6">
        <v>3.79</v>
      </c>
      <c r="Q15" s="6">
        <v>-2.87</v>
      </c>
      <c r="R15" s="6">
        <v>0.86</v>
      </c>
      <c r="S15" s="6">
        <v>-0.69</v>
      </c>
      <c r="T15" s="6">
        <v>2.44</v>
      </c>
      <c r="U15" s="6">
        <v>1.1299999999999999</v>
      </c>
      <c r="V15" s="6">
        <v>-0.7</v>
      </c>
      <c r="W15" s="6">
        <v>4.3099999999999996</v>
      </c>
      <c r="X15" s="6">
        <v>10.85</v>
      </c>
      <c r="Y15" s="6">
        <v>-0.78</v>
      </c>
      <c r="Z15" s="6">
        <v>-4.1100000000000003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/>
      <c r="AS15" s="6"/>
      <c r="AT15" s="6"/>
      <c r="AU15" s="6"/>
      <c r="AV15" s="6"/>
      <c r="AW15" s="2"/>
      <c r="AX15" s="2"/>
      <c r="AY15" s="2"/>
      <c r="AZ15" s="2"/>
      <c r="BA15" s="2"/>
      <c r="BB15" s="2"/>
      <c r="BC15" s="2"/>
    </row>
    <row r="16" spans="1:55" x14ac:dyDescent="0.25">
      <c r="A16" s="1">
        <v>41275</v>
      </c>
      <c r="B16" s="1">
        <v>41365</v>
      </c>
      <c r="C16" s="6">
        <v>0</v>
      </c>
      <c r="D16" s="6">
        <v>-17.79</v>
      </c>
      <c r="E16" s="6">
        <v>-1.76</v>
      </c>
      <c r="F16" s="6">
        <v>0</v>
      </c>
      <c r="G16" s="6">
        <v>0</v>
      </c>
      <c r="H16" s="6">
        <v>0</v>
      </c>
      <c r="I16" s="6">
        <v>0</v>
      </c>
      <c r="J16" s="6">
        <v>2.66</v>
      </c>
      <c r="K16" s="6">
        <v>0</v>
      </c>
      <c r="L16" s="6">
        <v>8.4700000000000006</v>
      </c>
      <c r="M16" s="6">
        <v>0</v>
      </c>
      <c r="N16" s="6">
        <v>0</v>
      </c>
      <c r="O16" s="6">
        <v>4.67</v>
      </c>
      <c r="P16" s="6">
        <v>-0.17</v>
      </c>
      <c r="Q16" s="6">
        <v>-0.01</v>
      </c>
      <c r="R16" s="6">
        <v>5.92</v>
      </c>
      <c r="S16" s="6">
        <v>-0.19</v>
      </c>
      <c r="T16" s="6">
        <v>6.03</v>
      </c>
      <c r="U16" s="6">
        <v>2.12</v>
      </c>
      <c r="V16" s="6">
        <v>8.77</v>
      </c>
      <c r="W16" s="6">
        <v>-0.1</v>
      </c>
      <c r="X16" s="6">
        <v>9.61</v>
      </c>
      <c r="Y16" s="6">
        <v>6.45</v>
      </c>
      <c r="Z16" s="6">
        <v>12.29</v>
      </c>
      <c r="AA16" s="6">
        <v>1.4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/>
      <c r="AS16" s="6"/>
      <c r="AT16" s="6"/>
      <c r="AU16" s="6"/>
      <c r="AV16" s="6"/>
      <c r="AW16" s="2"/>
      <c r="AX16" s="2"/>
      <c r="AY16" s="2"/>
      <c r="AZ16" s="2"/>
      <c r="BA16" s="2"/>
      <c r="BB16" s="2"/>
      <c r="BC16" s="2"/>
    </row>
    <row r="17" spans="1:55" x14ac:dyDescent="0.25">
      <c r="A17" s="1">
        <v>41365</v>
      </c>
      <c r="B17" s="1">
        <v>41456</v>
      </c>
      <c r="C17" s="6">
        <v>0</v>
      </c>
      <c r="D17" s="6">
        <v>-36.19</v>
      </c>
      <c r="E17" s="6">
        <v>-6.34</v>
      </c>
      <c r="F17" s="6">
        <v>0</v>
      </c>
      <c r="G17" s="6">
        <v>0</v>
      </c>
      <c r="H17" s="6">
        <v>0</v>
      </c>
      <c r="I17" s="6">
        <v>0</v>
      </c>
      <c r="J17" s="6">
        <v>-7.9</v>
      </c>
      <c r="K17" s="6">
        <v>0</v>
      </c>
      <c r="L17" s="6">
        <v>-4.2699999999999996</v>
      </c>
      <c r="M17" s="6">
        <v>0</v>
      </c>
      <c r="N17" s="6">
        <v>0</v>
      </c>
      <c r="O17" s="6">
        <v>-5.12</v>
      </c>
      <c r="P17" s="6">
        <v>-6.97</v>
      </c>
      <c r="Q17" s="6">
        <v>6.83</v>
      </c>
      <c r="R17" s="6">
        <v>0.41</v>
      </c>
      <c r="S17" s="6">
        <v>-2.83</v>
      </c>
      <c r="T17" s="6">
        <v>1.83</v>
      </c>
      <c r="U17" s="6">
        <v>-3.86</v>
      </c>
      <c r="V17" s="6">
        <v>8.2200000000000006</v>
      </c>
      <c r="W17" s="6">
        <v>-3.02</v>
      </c>
      <c r="X17" s="6">
        <v>4.82</v>
      </c>
      <c r="Y17" s="6">
        <v>2.19</v>
      </c>
      <c r="Z17" s="6">
        <v>0.78</v>
      </c>
      <c r="AA17" s="6">
        <v>-1.1399999999999999</v>
      </c>
      <c r="AB17" s="6">
        <v>4.09</v>
      </c>
      <c r="AC17" s="6">
        <v>-6.45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/>
      <c r="AS17" s="6"/>
      <c r="AT17" s="6"/>
      <c r="AU17" s="6"/>
      <c r="AV17" s="6"/>
      <c r="AW17" s="2"/>
      <c r="AX17" s="2"/>
      <c r="AY17" s="2"/>
      <c r="AZ17" s="2"/>
      <c r="BA17" s="2"/>
      <c r="BB17" s="2"/>
      <c r="BC17" s="2"/>
    </row>
    <row r="18" spans="1:55" x14ac:dyDescent="0.25">
      <c r="A18" s="1">
        <v>41456</v>
      </c>
      <c r="B18" s="1">
        <v>41548</v>
      </c>
      <c r="C18" s="6">
        <v>0</v>
      </c>
      <c r="D18" s="6">
        <v>-60.67</v>
      </c>
      <c r="E18" s="6">
        <v>7.58</v>
      </c>
      <c r="F18" s="6">
        <v>0</v>
      </c>
      <c r="G18" s="6">
        <v>0</v>
      </c>
      <c r="H18" s="6">
        <v>0</v>
      </c>
      <c r="I18" s="6">
        <v>0</v>
      </c>
      <c r="J18" s="6">
        <v>15.65</v>
      </c>
      <c r="K18" s="6">
        <v>0</v>
      </c>
      <c r="L18" s="6">
        <v>-0.22</v>
      </c>
      <c r="M18" s="6">
        <v>0</v>
      </c>
      <c r="N18" s="6">
        <v>0</v>
      </c>
      <c r="O18" s="6">
        <v>8.6</v>
      </c>
      <c r="P18" s="6">
        <v>-1.78</v>
      </c>
      <c r="Q18" s="6">
        <v>0</v>
      </c>
      <c r="R18" s="6">
        <v>3.35</v>
      </c>
      <c r="S18" s="6">
        <v>-1.19</v>
      </c>
      <c r="T18" s="6">
        <v>11.84</v>
      </c>
      <c r="U18" s="6">
        <v>5.9</v>
      </c>
      <c r="V18" s="6">
        <v>11.12</v>
      </c>
      <c r="W18" s="6">
        <v>10.54</v>
      </c>
      <c r="X18" s="6">
        <v>-8.18</v>
      </c>
      <c r="Y18" s="6">
        <v>4.76</v>
      </c>
      <c r="Z18" s="6">
        <v>-3.7</v>
      </c>
      <c r="AA18" s="6">
        <v>0</v>
      </c>
      <c r="AB18" s="6">
        <v>4.2300000000000004</v>
      </c>
      <c r="AC18" s="6">
        <v>7.99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/>
      <c r="AS18" s="6"/>
      <c r="AT18" s="6"/>
      <c r="AU18" s="6"/>
      <c r="AV18" s="6"/>
      <c r="AW18" s="2"/>
      <c r="AX18" s="2"/>
      <c r="AY18" s="2"/>
      <c r="AZ18" s="2"/>
      <c r="BA18" s="2"/>
      <c r="BB18" s="2"/>
      <c r="BC18" s="2"/>
    </row>
    <row r="19" spans="1:55" x14ac:dyDescent="0.25">
      <c r="A19" s="1">
        <v>41548</v>
      </c>
      <c r="B19" s="1">
        <v>41640</v>
      </c>
      <c r="C19" s="6">
        <v>0</v>
      </c>
      <c r="D19" s="6">
        <v>0</v>
      </c>
      <c r="E19" s="6">
        <v>2.17</v>
      </c>
      <c r="F19" s="6">
        <v>0</v>
      </c>
      <c r="G19" s="6">
        <v>0</v>
      </c>
      <c r="H19" s="6">
        <v>0</v>
      </c>
      <c r="I19" s="6">
        <v>0</v>
      </c>
      <c r="J19" s="6">
        <v>-0.55000000000000004</v>
      </c>
      <c r="K19" s="6">
        <v>0</v>
      </c>
      <c r="L19" s="6">
        <v>3.06</v>
      </c>
      <c r="M19" s="6">
        <v>0</v>
      </c>
      <c r="N19" s="6">
        <v>0</v>
      </c>
      <c r="O19" s="6">
        <v>-2.39</v>
      </c>
      <c r="P19" s="6">
        <v>0.56999999999999995</v>
      </c>
      <c r="Q19" s="6">
        <v>0</v>
      </c>
      <c r="R19" s="6">
        <v>6.53</v>
      </c>
      <c r="S19" s="6">
        <v>0</v>
      </c>
      <c r="T19" s="6">
        <v>12.52</v>
      </c>
      <c r="U19" s="6">
        <v>6.49</v>
      </c>
      <c r="V19" s="6">
        <v>12.15</v>
      </c>
      <c r="W19" s="6">
        <v>6.17</v>
      </c>
      <c r="X19" s="6">
        <v>-19.82</v>
      </c>
      <c r="Y19" s="6">
        <v>2.35</v>
      </c>
      <c r="Z19" s="6">
        <v>0.94</v>
      </c>
      <c r="AA19" s="6">
        <v>0</v>
      </c>
      <c r="AB19" s="6">
        <v>0</v>
      </c>
      <c r="AC19" s="6">
        <v>8.69</v>
      </c>
      <c r="AD19" s="6">
        <v>3.71</v>
      </c>
      <c r="AE19" s="6">
        <v>-2.34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/>
      <c r="AS19" s="6"/>
      <c r="AT19" s="6"/>
      <c r="AU19" s="6"/>
      <c r="AV19" s="6"/>
      <c r="AW19" s="2"/>
      <c r="AX19" s="2"/>
      <c r="AY19" s="2"/>
      <c r="AZ19" s="2"/>
      <c r="BA19" s="2"/>
      <c r="BB19" s="2"/>
      <c r="BC19" s="2"/>
    </row>
    <row r="20" spans="1:55" x14ac:dyDescent="0.25">
      <c r="A20" s="1">
        <v>41640</v>
      </c>
      <c r="B20" s="1">
        <v>41730</v>
      </c>
      <c r="C20" s="6">
        <v>0</v>
      </c>
      <c r="D20" s="6">
        <v>0</v>
      </c>
      <c r="E20" s="6">
        <v>10.029999999999999</v>
      </c>
      <c r="F20" s="6">
        <v>0</v>
      </c>
      <c r="G20" s="6">
        <v>0</v>
      </c>
      <c r="H20" s="6">
        <v>0</v>
      </c>
      <c r="I20" s="6">
        <v>0</v>
      </c>
      <c r="J20" s="6">
        <v>0.62</v>
      </c>
      <c r="K20" s="6">
        <v>0</v>
      </c>
      <c r="L20" s="6">
        <v>0</v>
      </c>
      <c r="M20" s="6">
        <v>0</v>
      </c>
      <c r="N20" s="6">
        <v>0</v>
      </c>
      <c r="O20" s="6">
        <v>3.54</v>
      </c>
      <c r="P20" s="6">
        <v>2.08</v>
      </c>
      <c r="Q20" s="6">
        <v>0</v>
      </c>
      <c r="R20" s="6">
        <v>5.91</v>
      </c>
      <c r="S20" s="6">
        <v>0</v>
      </c>
      <c r="T20" s="6">
        <v>2.61</v>
      </c>
      <c r="U20" s="6">
        <v>5.18</v>
      </c>
      <c r="V20" s="6">
        <v>2.88</v>
      </c>
      <c r="W20" s="6">
        <v>-1.28</v>
      </c>
      <c r="X20" s="6">
        <v>0</v>
      </c>
      <c r="Y20" s="6">
        <v>4.51</v>
      </c>
      <c r="Z20" s="6">
        <v>0.9</v>
      </c>
      <c r="AA20" s="6">
        <v>0</v>
      </c>
      <c r="AB20" s="6">
        <v>0</v>
      </c>
      <c r="AC20" s="6">
        <v>-6.19</v>
      </c>
      <c r="AD20" s="6">
        <v>7.98</v>
      </c>
      <c r="AE20" s="6">
        <v>-0.2</v>
      </c>
      <c r="AF20" s="6">
        <v>-6.67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/>
      <c r="AS20" s="6"/>
      <c r="AT20" s="6"/>
      <c r="AU20" s="6"/>
      <c r="AV20" s="6"/>
      <c r="AW20" s="2"/>
      <c r="AX20" s="2"/>
      <c r="AY20" s="2"/>
      <c r="AZ20" s="2"/>
      <c r="BA20" s="2"/>
      <c r="BB20" s="2"/>
      <c r="BC20" s="2"/>
    </row>
    <row r="21" spans="1:55" x14ac:dyDescent="0.25">
      <c r="A21" s="1">
        <v>41730</v>
      </c>
      <c r="B21" s="1">
        <v>41821</v>
      </c>
      <c r="C21" s="6">
        <v>0</v>
      </c>
      <c r="D21" s="6">
        <v>0</v>
      </c>
      <c r="E21" s="6">
        <v>9.18</v>
      </c>
      <c r="F21" s="6">
        <v>0</v>
      </c>
      <c r="G21" s="6">
        <v>0</v>
      </c>
      <c r="H21" s="6">
        <v>0</v>
      </c>
      <c r="I21" s="6">
        <v>0</v>
      </c>
      <c r="J21" s="6">
        <v>10.210000000000001</v>
      </c>
      <c r="K21" s="6">
        <v>0</v>
      </c>
      <c r="L21" s="6">
        <v>0</v>
      </c>
      <c r="M21" s="6">
        <v>0</v>
      </c>
      <c r="N21" s="6">
        <v>0</v>
      </c>
      <c r="O21" s="6">
        <v>6.85</v>
      </c>
      <c r="P21" s="6">
        <v>0</v>
      </c>
      <c r="Q21" s="6">
        <v>0</v>
      </c>
      <c r="R21" s="6">
        <v>1.63</v>
      </c>
      <c r="S21" s="6">
        <v>0</v>
      </c>
      <c r="T21" s="6">
        <v>12.99</v>
      </c>
      <c r="U21" s="6">
        <v>5.07</v>
      </c>
      <c r="V21" s="6">
        <v>-0.26</v>
      </c>
      <c r="W21" s="6">
        <v>8.41</v>
      </c>
      <c r="X21" s="6">
        <v>0</v>
      </c>
      <c r="Y21" s="6">
        <v>3.81</v>
      </c>
      <c r="Z21" s="6">
        <v>3.17</v>
      </c>
      <c r="AA21" s="6">
        <v>0</v>
      </c>
      <c r="AB21" s="6">
        <v>0</v>
      </c>
      <c r="AC21" s="6">
        <v>14.31</v>
      </c>
      <c r="AD21" s="6">
        <v>5.71</v>
      </c>
      <c r="AE21" s="6">
        <v>1.1100000000000001</v>
      </c>
      <c r="AF21" s="6">
        <v>-0.89</v>
      </c>
      <c r="AG21" s="6">
        <v>0.44</v>
      </c>
      <c r="AH21" s="6">
        <v>-33.92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/>
      <c r="AS21" s="6"/>
      <c r="AT21" s="6"/>
      <c r="AU21" s="6"/>
      <c r="AV21" s="6"/>
      <c r="AW21" s="2"/>
      <c r="AX21" s="2"/>
      <c r="AY21" s="2"/>
      <c r="AZ21" s="2"/>
      <c r="BA21" s="2"/>
      <c r="BB21" s="2"/>
      <c r="BC21" s="2"/>
    </row>
    <row r="22" spans="1:55" x14ac:dyDescent="0.25">
      <c r="A22" s="1">
        <v>41821</v>
      </c>
      <c r="B22" s="1">
        <v>41913</v>
      </c>
      <c r="C22" s="6">
        <v>0</v>
      </c>
      <c r="D22" s="6">
        <v>0</v>
      </c>
      <c r="E22" s="6">
        <v>-10.35</v>
      </c>
      <c r="F22" s="6">
        <v>0</v>
      </c>
      <c r="G22" s="6">
        <v>0</v>
      </c>
      <c r="H22" s="6">
        <v>0</v>
      </c>
      <c r="I22" s="6">
        <v>0</v>
      </c>
      <c r="J22" s="6">
        <v>-0.78</v>
      </c>
      <c r="K22" s="6">
        <v>0</v>
      </c>
      <c r="L22" s="6">
        <v>0</v>
      </c>
      <c r="M22" s="6">
        <v>0</v>
      </c>
      <c r="N22" s="6">
        <v>0</v>
      </c>
      <c r="O22" s="6">
        <v>11.92</v>
      </c>
      <c r="P22" s="6">
        <v>0</v>
      </c>
      <c r="Q22" s="6">
        <v>0</v>
      </c>
      <c r="R22" s="6">
        <v>-1.54</v>
      </c>
      <c r="S22" s="6">
        <v>0</v>
      </c>
      <c r="T22" s="6">
        <v>-4.67</v>
      </c>
      <c r="U22" s="6">
        <v>-1.01</v>
      </c>
      <c r="V22" s="6">
        <v>4.41</v>
      </c>
      <c r="W22" s="6">
        <v>-0.71</v>
      </c>
      <c r="X22" s="6">
        <v>0</v>
      </c>
      <c r="Y22" s="6">
        <v>-0.5</v>
      </c>
      <c r="Z22" s="6">
        <v>-7.81</v>
      </c>
      <c r="AA22" s="6">
        <v>0</v>
      </c>
      <c r="AB22" s="6">
        <v>0</v>
      </c>
      <c r="AC22" s="6">
        <v>-7.1</v>
      </c>
      <c r="AD22" s="6">
        <v>-3.75</v>
      </c>
      <c r="AE22" s="6">
        <v>-1.47</v>
      </c>
      <c r="AF22" s="6">
        <v>12.03</v>
      </c>
      <c r="AG22" s="6">
        <v>-6.26</v>
      </c>
      <c r="AH22" s="6">
        <v>-5.79</v>
      </c>
      <c r="AI22" s="6">
        <v>-18.420000000000002</v>
      </c>
      <c r="AJ22" s="6">
        <v>-0.79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/>
      <c r="AS22" s="6"/>
      <c r="AT22" s="6"/>
      <c r="AU22" s="6"/>
      <c r="AV22" s="6"/>
      <c r="AW22" s="2"/>
      <c r="AX22" s="2"/>
      <c r="AY22" s="2"/>
      <c r="AZ22" s="2"/>
      <c r="BA22" s="2"/>
      <c r="BB22" s="2"/>
      <c r="BC22" s="2"/>
    </row>
    <row r="23" spans="1:55" x14ac:dyDescent="0.25">
      <c r="A23" s="1">
        <v>41913</v>
      </c>
      <c r="B23" s="1">
        <v>42005</v>
      </c>
      <c r="C23" s="6">
        <v>0</v>
      </c>
      <c r="D23" s="6">
        <v>0</v>
      </c>
      <c r="E23" s="6">
        <v>-22.34</v>
      </c>
      <c r="F23" s="6">
        <v>0</v>
      </c>
      <c r="G23" s="6">
        <v>0</v>
      </c>
      <c r="H23" s="6">
        <v>0</v>
      </c>
      <c r="I23" s="6">
        <v>0</v>
      </c>
      <c r="J23" s="6">
        <v>-3.56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3.93</v>
      </c>
      <c r="S23" s="6">
        <v>0</v>
      </c>
      <c r="T23" s="6">
        <v>-11.98</v>
      </c>
      <c r="U23" s="6">
        <v>0.31</v>
      </c>
      <c r="V23" s="6">
        <v>2.4700000000000002</v>
      </c>
      <c r="W23" s="6">
        <v>-3.32</v>
      </c>
      <c r="X23" s="6">
        <v>0</v>
      </c>
      <c r="Y23" s="6">
        <v>11.51</v>
      </c>
      <c r="Z23" s="6">
        <v>0</v>
      </c>
      <c r="AA23" s="6">
        <v>0</v>
      </c>
      <c r="AB23" s="6">
        <v>0</v>
      </c>
      <c r="AC23" s="6">
        <v>-8.41</v>
      </c>
      <c r="AD23" s="6">
        <v>-4.5</v>
      </c>
      <c r="AE23" s="6">
        <v>-3.92</v>
      </c>
      <c r="AF23" s="6">
        <v>14.39</v>
      </c>
      <c r="AG23" s="6">
        <v>-1.85</v>
      </c>
      <c r="AH23" s="6">
        <v>23.81</v>
      </c>
      <c r="AI23" s="6">
        <v>-8.17</v>
      </c>
      <c r="AJ23" s="6">
        <v>34.409999999999997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/>
      <c r="AS23" s="6"/>
      <c r="AT23" s="6"/>
      <c r="AU23" s="6"/>
      <c r="AV23" s="6"/>
      <c r="AW23" s="2"/>
      <c r="AX23" s="2"/>
      <c r="AY23" s="2"/>
      <c r="AZ23" s="2"/>
      <c r="BA23" s="2"/>
      <c r="BB23" s="2"/>
      <c r="BC23" s="2"/>
    </row>
    <row r="24" spans="1:55" x14ac:dyDescent="0.25">
      <c r="A24" s="1">
        <v>42005</v>
      </c>
      <c r="B24" s="1">
        <v>42095</v>
      </c>
      <c r="C24" s="6">
        <v>0</v>
      </c>
      <c r="D24" s="6">
        <v>0</v>
      </c>
      <c r="E24" s="6">
        <v>11.96</v>
      </c>
      <c r="F24" s="6">
        <v>0</v>
      </c>
      <c r="G24" s="6">
        <v>0</v>
      </c>
      <c r="H24" s="6">
        <v>0</v>
      </c>
      <c r="I24" s="6">
        <v>0</v>
      </c>
      <c r="J24" s="6">
        <v>-15.06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4.5599999999999996</v>
      </c>
      <c r="U24" s="6">
        <v>2</v>
      </c>
      <c r="V24" s="6">
        <v>4.8899999999999997</v>
      </c>
      <c r="W24" s="6">
        <v>-12.52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-11.88</v>
      </c>
      <c r="AD24" s="6">
        <v>2.31</v>
      </c>
      <c r="AE24" s="6">
        <v>-2.08</v>
      </c>
      <c r="AF24" s="6">
        <v>15.86</v>
      </c>
      <c r="AG24" s="6">
        <v>-9.52</v>
      </c>
      <c r="AH24" s="6">
        <v>0</v>
      </c>
      <c r="AI24" s="6">
        <v>11.3</v>
      </c>
      <c r="AJ24" s="6">
        <v>-2.4500000000000002</v>
      </c>
      <c r="AK24" s="6">
        <v>0</v>
      </c>
      <c r="AL24" s="6">
        <v>-4.96</v>
      </c>
      <c r="AM24" s="6">
        <v>-48.96</v>
      </c>
      <c r="AN24" s="6">
        <v>0</v>
      </c>
      <c r="AO24" s="6">
        <v>0</v>
      </c>
      <c r="AP24" s="6">
        <v>0</v>
      </c>
      <c r="AQ24" s="6">
        <v>0</v>
      </c>
      <c r="AR24" s="6"/>
      <c r="AS24" s="6"/>
      <c r="AT24" s="6"/>
      <c r="AU24" s="6"/>
      <c r="AV24" s="6"/>
      <c r="AW24" s="2"/>
      <c r="AX24" s="2"/>
      <c r="AY24" s="2"/>
      <c r="AZ24" s="2"/>
      <c r="BA24" s="2"/>
      <c r="BB24" s="2"/>
      <c r="BC24" s="2"/>
    </row>
    <row r="25" spans="1:55" x14ac:dyDescent="0.25">
      <c r="A25" s="1">
        <v>42095</v>
      </c>
      <c r="B25" s="1">
        <v>42186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-0.97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2.59</v>
      </c>
      <c r="U25" s="6">
        <v>-2.69</v>
      </c>
      <c r="V25" s="6">
        <v>1.75</v>
      </c>
      <c r="W25" s="6">
        <v>1.41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2.8</v>
      </c>
      <c r="AD25" s="6">
        <v>2.9</v>
      </c>
      <c r="AE25" s="6">
        <v>8.15</v>
      </c>
      <c r="AF25" s="6">
        <v>4.28</v>
      </c>
      <c r="AG25" s="6">
        <v>-1.48</v>
      </c>
      <c r="AH25" s="6">
        <v>0</v>
      </c>
      <c r="AI25" s="6">
        <v>12.77</v>
      </c>
      <c r="AJ25" s="6">
        <v>-8.8699999999999992</v>
      </c>
      <c r="AK25" s="6">
        <v>-2.61</v>
      </c>
      <c r="AL25" s="6">
        <v>0</v>
      </c>
      <c r="AM25" s="6">
        <v>66.11</v>
      </c>
      <c r="AN25" s="6">
        <v>0</v>
      </c>
      <c r="AO25" s="6">
        <v>0</v>
      </c>
      <c r="AP25" s="6">
        <v>0</v>
      </c>
      <c r="AQ25" s="6">
        <v>0</v>
      </c>
      <c r="AR25" s="6"/>
      <c r="AS25" s="6"/>
      <c r="AT25" s="6"/>
      <c r="AU25" s="6"/>
      <c r="AV25" s="6"/>
      <c r="AW25" s="2"/>
      <c r="AX25" s="2"/>
      <c r="AY25" s="2"/>
      <c r="AZ25" s="2"/>
      <c r="BA25" s="2"/>
      <c r="BB25" s="2"/>
      <c r="BC25" s="2"/>
    </row>
    <row r="26" spans="1:55" x14ac:dyDescent="0.25">
      <c r="A26" s="1">
        <v>42186</v>
      </c>
      <c r="B26" s="1">
        <v>42278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-7.23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-11.27</v>
      </c>
      <c r="U26" s="6">
        <v>-7.98</v>
      </c>
      <c r="V26" s="6">
        <v>-1.82</v>
      </c>
      <c r="W26" s="6">
        <v>-9.42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-13.85</v>
      </c>
      <c r="AD26" s="6">
        <v>-6.41</v>
      </c>
      <c r="AE26" s="6">
        <v>20.79</v>
      </c>
      <c r="AF26" s="6">
        <v>-8.59</v>
      </c>
      <c r="AG26" s="6">
        <v>-6.67</v>
      </c>
      <c r="AH26" s="6">
        <v>0</v>
      </c>
      <c r="AI26" s="6">
        <v>-12.23</v>
      </c>
      <c r="AJ26" s="6">
        <v>-7.51</v>
      </c>
      <c r="AK26" s="6">
        <v>0.35</v>
      </c>
      <c r="AL26" s="6">
        <v>0</v>
      </c>
      <c r="AM26" s="6">
        <v>0</v>
      </c>
      <c r="AN26" s="6">
        <v>2.02</v>
      </c>
      <c r="AO26" s="6">
        <v>0</v>
      </c>
      <c r="AP26" s="6">
        <v>0</v>
      </c>
      <c r="AQ26" s="6">
        <v>0</v>
      </c>
      <c r="AR26" s="6"/>
      <c r="AS26" s="6"/>
      <c r="AT26" s="6"/>
      <c r="AU26" s="6"/>
      <c r="AV26" s="6"/>
      <c r="AW26" s="2"/>
      <c r="AX26" s="2"/>
      <c r="AY26" s="2"/>
      <c r="AZ26" s="2"/>
      <c r="BA26" s="2"/>
      <c r="BB26" s="2"/>
      <c r="BC26" s="2"/>
    </row>
    <row r="27" spans="1:55" x14ac:dyDescent="0.25">
      <c r="A27" s="1">
        <v>42278</v>
      </c>
      <c r="B27" s="1">
        <v>42370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2.21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-6.74</v>
      </c>
      <c r="U27" s="6">
        <v>-1.99</v>
      </c>
      <c r="V27" s="6">
        <v>14.92</v>
      </c>
      <c r="W27" s="6">
        <v>-3.46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-9.23</v>
      </c>
      <c r="AD27" s="6">
        <v>4.13</v>
      </c>
      <c r="AE27" s="6">
        <v>0</v>
      </c>
      <c r="AF27" s="6">
        <v>11.15</v>
      </c>
      <c r="AG27" s="6">
        <v>-1.46</v>
      </c>
      <c r="AH27" s="6">
        <v>0</v>
      </c>
      <c r="AI27" s="6">
        <v>22.63</v>
      </c>
      <c r="AJ27" s="6">
        <v>-1.22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/>
      <c r="AS27" s="6"/>
      <c r="AT27" s="6"/>
      <c r="AU27" s="6"/>
      <c r="AV27" s="6"/>
      <c r="AW27" s="2"/>
      <c r="AX27" s="2"/>
      <c r="AY27" s="2"/>
      <c r="AZ27" s="2"/>
      <c r="BA27" s="2"/>
      <c r="BB27" s="2"/>
      <c r="BC27" s="2"/>
    </row>
    <row r="28" spans="1:55" x14ac:dyDescent="0.25">
      <c r="A28" s="1">
        <v>42370</v>
      </c>
      <c r="B28" s="1">
        <v>42461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7.46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-2.92</v>
      </c>
      <c r="U28" s="6">
        <v>3.07</v>
      </c>
      <c r="V28" s="6">
        <v>-7.42</v>
      </c>
      <c r="W28" s="6">
        <v>7.65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19.16</v>
      </c>
      <c r="AD28" s="6">
        <v>2.08</v>
      </c>
      <c r="AE28" s="6">
        <v>0</v>
      </c>
      <c r="AF28" s="6">
        <v>-16.02</v>
      </c>
      <c r="AG28" s="6">
        <v>10.029999999999999</v>
      </c>
      <c r="AH28" s="6">
        <v>0</v>
      </c>
      <c r="AI28" s="6">
        <v>0</v>
      </c>
      <c r="AJ28" s="6">
        <v>5.87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/>
      <c r="AS28" s="6"/>
      <c r="AT28" s="6"/>
      <c r="AU28" s="6"/>
      <c r="AV28" s="6"/>
      <c r="AW28" s="2"/>
      <c r="AX28" s="2"/>
      <c r="AY28" s="2"/>
      <c r="AZ28" s="2"/>
      <c r="BA28" s="2"/>
      <c r="BB28" s="2"/>
      <c r="BC28" s="2"/>
    </row>
    <row r="29" spans="1:55" x14ac:dyDescent="0.25">
      <c r="A29" s="1">
        <v>42461</v>
      </c>
      <c r="B29" s="1">
        <v>42552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5.1100000000000003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2.06</v>
      </c>
      <c r="U29" s="6">
        <v>3.79</v>
      </c>
      <c r="V29" s="6">
        <v>1.68</v>
      </c>
      <c r="W29" s="6">
        <v>2.64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2.5299999999999998</v>
      </c>
      <c r="AD29" s="6">
        <v>6.24</v>
      </c>
      <c r="AE29" s="6">
        <v>0</v>
      </c>
      <c r="AF29" s="6">
        <v>1.45</v>
      </c>
      <c r="AG29" s="6">
        <v>-0.28000000000000003</v>
      </c>
      <c r="AH29" s="6">
        <v>0</v>
      </c>
      <c r="AI29" s="6">
        <v>0</v>
      </c>
      <c r="AJ29" s="6">
        <v>8.7899999999999991</v>
      </c>
      <c r="AK29" s="6">
        <v>0</v>
      </c>
      <c r="AL29" s="6">
        <v>0</v>
      </c>
      <c r="AM29" s="6">
        <v>0</v>
      </c>
      <c r="AN29" s="6">
        <v>0</v>
      </c>
      <c r="AO29" s="6">
        <v>3.09</v>
      </c>
      <c r="AP29" s="6">
        <v>0</v>
      </c>
      <c r="AQ29" s="6">
        <v>0</v>
      </c>
      <c r="AR29" s="6"/>
      <c r="AS29" s="6"/>
      <c r="AT29" s="6"/>
      <c r="AU29" s="6"/>
      <c r="AV29" s="6"/>
      <c r="AW29" s="2"/>
      <c r="AX29" s="2"/>
      <c r="AY29" s="2"/>
      <c r="AZ29" s="2"/>
      <c r="BA29" s="2"/>
      <c r="BB29" s="2"/>
      <c r="BC29" s="2"/>
    </row>
    <row r="30" spans="1:55" x14ac:dyDescent="0.25">
      <c r="A30" s="1">
        <v>42552</v>
      </c>
      <c r="B30" s="1">
        <v>42644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2.89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10.76</v>
      </c>
      <c r="U30" s="6">
        <v>5.0599999999999996</v>
      </c>
      <c r="V30" s="6">
        <v>9.66</v>
      </c>
      <c r="W30" s="6">
        <v>4.66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7.25</v>
      </c>
      <c r="AD30" s="6">
        <v>6.76</v>
      </c>
      <c r="AE30" s="6">
        <v>0</v>
      </c>
      <c r="AF30" s="6">
        <v>3.17</v>
      </c>
      <c r="AG30" s="6">
        <v>3.3</v>
      </c>
      <c r="AH30" s="6">
        <v>0</v>
      </c>
      <c r="AI30" s="6">
        <v>0</v>
      </c>
      <c r="AJ30" s="6">
        <v>6.05</v>
      </c>
      <c r="AK30" s="6">
        <v>0</v>
      </c>
      <c r="AL30" s="6">
        <v>0</v>
      </c>
      <c r="AM30" s="6">
        <v>0</v>
      </c>
      <c r="AN30" s="6">
        <v>0</v>
      </c>
      <c r="AO30" s="6">
        <v>0.76</v>
      </c>
      <c r="AP30" s="6">
        <v>-6.8</v>
      </c>
      <c r="AQ30" s="6">
        <v>-0.04</v>
      </c>
      <c r="AR30" s="6"/>
      <c r="AS30" s="6"/>
      <c r="AT30" s="6"/>
      <c r="AU30" s="6"/>
      <c r="AV30" s="6"/>
      <c r="AW30" s="2"/>
      <c r="AX30" s="2"/>
      <c r="AY30" s="2"/>
      <c r="AZ30" s="2"/>
      <c r="BA30" s="2"/>
      <c r="BB30" s="2"/>
      <c r="BC30" s="2"/>
    </row>
    <row r="31" spans="1:55" x14ac:dyDescent="0.25">
      <c r="A31" s="1">
        <v>42644</v>
      </c>
      <c r="B31" s="1">
        <v>42736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9.68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-4.1500000000000004</v>
      </c>
      <c r="U31" s="6">
        <v>4.8099999999999996</v>
      </c>
      <c r="V31" s="6">
        <v>-1.44</v>
      </c>
      <c r="W31" s="6">
        <v>9.2799999999999994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5.08</v>
      </c>
      <c r="AD31" s="6">
        <v>1.1000000000000001</v>
      </c>
      <c r="AE31" s="6">
        <v>0</v>
      </c>
      <c r="AF31" s="6">
        <v>-2.38</v>
      </c>
      <c r="AG31" s="6">
        <v>11.13</v>
      </c>
      <c r="AH31" s="6">
        <v>0</v>
      </c>
      <c r="AI31" s="6">
        <v>0</v>
      </c>
      <c r="AJ31" s="6">
        <v>2.2599999999999998</v>
      </c>
      <c r="AK31" s="6">
        <v>0</v>
      </c>
      <c r="AL31" s="6">
        <v>0</v>
      </c>
      <c r="AM31" s="6">
        <v>0</v>
      </c>
      <c r="AN31" s="6">
        <v>0</v>
      </c>
      <c r="AO31" s="6">
        <v>-0.19</v>
      </c>
      <c r="AP31" s="6">
        <v>7.02</v>
      </c>
      <c r="AQ31" s="6">
        <v>0.35</v>
      </c>
      <c r="AR31" s="6"/>
      <c r="AS31" s="6"/>
      <c r="AT31" s="6"/>
      <c r="AU31" s="6"/>
      <c r="AV31" s="6"/>
      <c r="AW31" s="2"/>
      <c r="AX31" s="2"/>
      <c r="AY31" s="2"/>
      <c r="AZ31" s="2"/>
      <c r="BA31" s="2"/>
      <c r="BB31" s="2"/>
      <c r="BC31" s="2"/>
    </row>
    <row r="32" spans="1:55" x14ac:dyDescent="0.25">
      <c r="A32" s="1">
        <v>42736</v>
      </c>
      <c r="B32" s="1">
        <v>42826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3.99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1.68</v>
      </c>
      <c r="U32" s="6">
        <v>1.68</v>
      </c>
      <c r="V32" s="6">
        <v>10.73</v>
      </c>
      <c r="W32" s="6">
        <v>7.68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5.19</v>
      </c>
      <c r="AD32" s="6">
        <v>2.42</v>
      </c>
      <c r="AE32" s="6">
        <v>0</v>
      </c>
      <c r="AF32" s="6">
        <v>9.6300000000000008</v>
      </c>
      <c r="AG32" s="6">
        <v>1.52</v>
      </c>
      <c r="AH32" s="6">
        <v>0</v>
      </c>
      <c r="AI32" s="6">
        <v>0</v>
      </c>
      <c r="AJ32" s="6">
        <v>-4.66</v>
      </c>
      <c r="AK32" s="6">
        <v>0</v>
      </c>
      <c r="AL32" s="6">
        <v>0</v>
      </c>
      <c r="AM32" s="6">
        <v>0</v>
      </c>
      <c r="AN32" s="6">
        <v>0</v>
      </c>
      <c r="AO32" s="6">
        <v>2.13</v>
      </c>
      <c r="AP32" s="6">
        <v>-3.55</v>
      </c>
      <c r="AQ32" s="6">
        <v>3.52</v>
      </c>
      <c r="AR32" s="6"/>
      <c r="AS32" s="6"/>
      <c r="AT32" s="6"/>
      <c r="AU32" s="6"/>
      <c r="AV32" s="6"/>
      <c r="AW32" s="2"/>
      <c r="AX32" s="2"/>
      <c r="AY32" s="2"/>
      <c r="AZ32" s="2"/>
      <c r="BA32" s="2"/>
      <c r="BB32" s="2"/>
      <c r="BC32" s="2"/>
    </row>
    <row r="33" spans="1:55" x14ac:dyDescent="0.25">
      <c r="A33" s="1">
        <v>42826</v>
      </c>
      <c r="B33" s="1">
        <v>42917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-1.81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0.82</v>
      </c>
      <c r="U33" s="6">
        <v>-2.56</v>
      </c>
      <c r="V33" s="6">
        <v>3.35</v>
      </c>
      <c r="W33" s="6">
        <v>-0.53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2.66</v>
      </c>
      <c r="AD33" s="6">
        <v>-3.26</v>
      </c>
      <c r="AE33" s="6">
        <v>0</v>
      </c>
      <c r="AF33" s="6">
        <v>4.26</v>
      </c>
      <c r="AG33" s="6">
        <v>0.57999999999999996</v>
      </c>
      <c r="AH33" s="6">
        <v>0</v>
      </c>
      <c r="AI33" s="6">
        <v>0</v>
      </c>
      <c r="AJ33" s="6">
        <v>-2.9</v>
      </c>
      <c r="AK33" s="6">
        <v>0</v>
      </c>
      <c r="AL33" s="6">
        <v>0</v>
      </c>
      <c r="AM33" s="6">
        <v>0</v>
      </c>
      <c r="AN33" s="6">
        <v>0</v>
      </c>
      <c r="AO33" s="6">
        <v>-0.26</v>
      </c>
      <c r="AP33" s="6">
        <v>3.23</v>
      </c>
      <c r="AQ33" s="6">
        <v>3.67</v>
      </c>
      <c r="AR33" s="6"/>
      <c r="AS33" s="6"/>
      <c r="AT33" s="6"/>
      <c r="AU33" s="6"/>
      <c r="AV33" s="6"/>
      <c r="AW33" s="2"/>
      <c r="AX33" s="2"/>
      <c r="AY33" s="2"/>
      <c r="AZ33" s="2"/>
      <c r="BA33" s="2"/>
      <c r="BB33" s="2"/>
      <c r="BC33" s="2"/>
    </row>
    <row r="34" spans="1:55" x14ac:dyDescent="0.25">
      <c r="A34" s="1">
        <v>42917</v>
      </c>
      <c r="B34" s="1">
        <v>43009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3.09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20.54</v>
      </c>
      <c r="U34" s="6">
        <v>3.21</v>
      </c>
      <c r="V34" s="6">
        <v>0.52</v>
      </c>
      <c r="W34" s="6">
        <v>6.66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6.85</v>
      </c>
      <c r="AD34" s="6">
        <v>-0.64</v>
      </c>
      <c r="AE34" s="6">
        <v>0</v>
      </c>
      <c r="AF34" s="6">
        <v>-0.56999999999999995</v>
      </c>
      <c r="AG34" s="6">
        <v>11.69</v>
      </c>
      <c r="AH34" s="6">
        <v>0</v>
      </c>
      <c r="AI34" s="6">
        <v>0</v>
      </c>
      <c r="AJ34" s="6">
        <v>-0.16</v>
      </c>
      <c r="AK34" s="6">
        <v>0</v>
      </c>
      <c r="AL34" s="6">
        <v>0</v>
      </c>
      <c r="AM34" s="6">
        <v>0</v>
      </c>
      <c r="AN34" s="6">
        <v>0</v>
      </c>
      <c r="AO34" s="6">
        <v>-0.56000000000000005</v>
      </c>
      <c r="AP34" s="6">
        <v>-10.68</v>
      </c>
      <c r="AQ34" s="6">
        <v>-2.56</v>
      </c>
      <c r="AR34" s="6"/>
      <c r="AS34" s="6"/>
      <c r="AT34" s="6"/>
      <c r="AU34" s="6"/>
      <c r="AV34" s="6"/>
      <c r="AW34" s="2"/>
      <c r="AX34" s="2"/>
      <c r="AY34" s="2"/>
      <c r="AZ34" s="2"/>
      <c r="BA34" s="2"/>
      <c r="BB34" s="2"/>
      <c r="BC34" s="2"/>
    </row>
    <row r="35" spans="1:5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2"/>
      <c r="AX35" s="2"/>
      <c r="AY35" s="2"/>
      <c r="AZ35" s="2"/>
      <c r="BA35" s="2"/>
      <c r="BB35" s="2"/>
      <c r="BC35" s="2"/>
    </row>
    <row r="36" spans="1:5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2"/>
      <c r="AX36" s="2"/>
      <c r="AY36" s="2"/>
      <c r="AZ36" s="2"/>
      <c r="BA36" s="2"/>
      <c r="BB36" s="2"/>
      <c r="BC36" s="2"/>
    </row>
    <row r="37" spans="1:5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2"/>
      <c r="AX37" s="2"/>
      <c r="AY37" s="2"/>
      <c r="AZ37" s="2"/>
      <c r="BA37" s="2"/>
      <c r="BB37" s="2"/>
      <c r="BC37" s="2"/>
    </row>
    <row r="38" spans="1:5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2"/>
      <c r="AX38" s="2"/>
      <c r="AY38" s="2"/>
      <c r="AZ38" s="2"/>
      <c r="BA38" s="2"/>
      <c r="BB38" s="2"/>
      <c r="BC38" s="2"/>
    </row>
    <row r="39" spans="1:5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2"/>
      <c r="AX39" s="2"/>
      <c r="AY39" s="2"/>
      <c r="AZ39" s="2"/>
      <c r="BA39" s="2"/>
      <c r="BB39" s="2"/>
      <c r="BC39" s="2"/>
    </row>
    <row r="40" spans="1:5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2"/>
      <c r="AX40" s="2"/>
      <c r="AY40" s="2"/>
      <c r="AZ40" s="2"/>
      <c r="BA40" s="2"/>
      <c r="BB40" s="2"/>
      <c r="BC40" s="2"/>
    </row>
    <row r="41" spans="1:5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2"/>
      <c r="AX41" s="2"/>
      <c r="AY41" s="2"/>
      <c r="AZ41" s="2"/>
      <c r="BA41" s="2"/>
      <c r="BB41" s="2"/>
      <c r="BC41" s="2"/>
    </row>
    <row r="42" spans="1:5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2"/>
      <c r="AX42" s="2"/>
      <c r="AY42" s="2"/>
      <c r="AZ42" s="2"/>
      <c r="BA42" s="2"/>
      <c r="BB42" s="2"/>
      <c r="BC42" s="2"/>
    </row>
    <row r="43" spans="1:5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2"/>
      <c r="AX43" s="2"/>
      <c r="AY43" s="2"/>
      <c r="AZ43" s="2"/>
      <c r="BA43" s="2"/>
      <c r="BB43" s="2"/>
      <c r="BC43" s="2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2"/>
      <c r="AX44" s="2"/>
      <c r="AY44" s="2"/>
      <c r="AZ44" s="2"/>
      <c r="BA44" s="2"/>
      <c r="BB44" s="2"/>
      <c r="BC44" s="2"/>
    </row>
    <row r="45" spans="1:5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2"/>
      <c r="AX45" s="2"/>
      <c r="AY45" s="2"/>
      <c r="AZ45" s="2"/>
      <c r="BA45" s="2"/>
      <c r="BB45" s="2"/>
      <c r="BC45" s="2"/>
    </row>
    <row r="46" spans="1:5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2"/>
      <c r="AX46" s="2"/>
      <c r="AY46" s="2"/>
      <c r="AZ46" s="2"/>
      <c r="BA46" s="2"/>
      <c r="BB46" s="2"/>
      <c r="BC46" s="2"/>
    </row>
    <row r="47" spans="1:5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2"/>
      <c r="AX47" s="2"/>
      <c r="AY47" s="2"/>
      <c r="AZ47" s="2"/>
      <c r="BA47" s="2"/>
      <c r="BB47" s="2"/>
      <c r="BC47" s="2"/>
    </row>
    <row r="48" spans="1:5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2"/>
      <c r="AX48" s="2"/>
      <c r="AY48" s="2"/>
      <c r="AZ48" s="2"/>
      <c r="BA48" s="2"/>
      <c r="BB48" s="2"/>
      <c r="BC48" s="2"/>
    </row>
    <row r="49" spans="3:5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2"/>
      <c r="AX49" s="2"/>
      <c r="AY49" s="2"/>
      <c r="AZ49" s="2"/>
      <c r="BA49" s="2"/>
      <c r="BB49" s="2"/>
      <c r="BC49" s="2"/>
    </row>
    <row r="50" spans="3:5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2"/>
      <c r="AX50" s="2"/>
      <c r="AY50" s="2"/>
      <c r="AZ50" s="2"/>
      <c r="BA50" s="2"/>
      <c r="BB50" s="2"/>
      <c r="BC50" s="2"/>
    </row>
    <row r="51" spans="3:5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2"/>
      <c r="AX51" s="2"/>
      <c r="AY51" s="2"/>
      <c r="AZ51" s="2"/>
      <c r="BA51" s="2"/>
      <c r="BB51" s="2"/>
      <c r="BC51" s="2"/>
    </row>
    <row r="52" spans="3:5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2"/>
      <c r="AX52" s="2"/>
      <c r="AY52" s="2"/>
      <c r="AZ52" s="2"/>
      <c r="BA52" s="2"/>
      <c r="BB52" s="2"/>
      <c r="BC52" s="2"/>
    </row>
    <row r="53" spans="3:5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2"/>
      <c r="AX53" s="2"/>
      <c r="AY53" s="2"/>
      <c r="AZ53" s="2"/>
      <c r="BA53" s="2"/>
      <c r="BB53" s="2"/>
      <c r="BC53" s="2"/>
    </row>
    <row r="54" spans="3:5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2"/>
      <c r="AX54" s="2"/>
      <c r="AY54" s="2"/>
      <c r="AZ54" s="2"/>
      <c r="BA54" s="2"/>
      <c r="BB54" s="2"/>
      <c r="BC54" s="2"/>
    </row>
    <row r="55" spans="3:5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2"/>
      <c r="AX55" s="2"/>
      <c r="AY55" s="2"/>
      <c r="AZ55" s="2"/>
      <c r="BA55" s="2"/>
      <c r="BB55" s="2"/>
      <c r="BC55" s="2"/>
    </row>
    <row r="56" spans="3:5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2"/>
      <c r="AX56" s="2"/>
      <c r="AY56" s="2"/>
      <c r="AZ56" s="2"/>
      <c r="BA56" s="2"/>
      <c r="BB56" s="2"/>
      <c r="BC56" s="2"/>
    </row>
    <row r="57" spans="3:5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2"/>
      <c r="AX57" s="2"/>
      <c r="AY57" s="2"/>
      <c r="AZ57" s="2"/>
      <c r="BA57" s="2"/>
      <c r="BB57" s="2"/>
      <c r="BC57" s="2"/>
    </row>
    <row r="58" spans="3:5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2"/>
      <c r="AX58" s="2"/>
      <c r="AY58" s="2"/>
      <c r="AZ58" s="2"/>
      <c r="BA58" s="2"/>
      <c r="BB58" s="2"/>
      <c r="BC58" s="2"/>
    </row>
    <row r="59" spans="3:5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2"/>
      <c r="AX59" s="2"/>
      <c r="AY59" s="2"/>
      <c r="AZ59" s="2"/>
      <c r="BA59" s="2"/>
      <c r="BB59" s="2"/>
      <c r="BC59" s="2"/>
    </row>
    <row r="60" spans="3:5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2"/>
      <c r="AX60" s="2"/>
      <c r="AY60" s="2"/>
      <c r="AZ60" s="2"/>
      <c r="BA60" s="2"/>
      <c r="BB60" s="2"/>
      <c r="BC60" s="2"/>
    </row>
    <row r="61" spans="3:5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2"/>
      <c r="AX61" s="2"/>
      <c r="AY61" s="2"/>
      <c r="AZ61" s="2"/>
      <c r="BA61" s="2"/>
      <c r="BB61" s="2"/>
      <c r="BC61" s="2"/>
    </row>
    <row r="62" spans="3:5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2"/>
      <c r="AX62" s="2"/>
      <c r="AY62" s="2"/>
      <c r="AZ62" s="2"/>
      <c r="BA62" s="2"/>
      <c r="BB62" s="2"/>
      <c r="BC62" s="2"/>
    </row>
    <row r="63" spans="3:5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2"/>
      <c r="AX63" s="2"/>
      <c r="AY63" s="2"/>
      <c r="AZ63" s="2"/>
      <c r="BA63" s="2"/>
      <c r="BB63" s="2"/>
      <c r="BC63" s="2"/>
    </row>
    <row r="64" spans="3:5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2"/>
      <c r="AX64" s="2"/>
      <c r="AY64" s="2"/>
      <c r="AZ64" s="2"/>
      <c r="BA64" s="2"/>
      <c r="BB64" s="2"/>
      <c r="BC64" s="2"/>
    </row>
    <row r="65" spans="3:5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2"/>
      <c r="AX65" s="2"/>
      <c r="AY65" s="2"/>
      <c r="AZ65" s="2"/>
      <c r="BA65" s="2"/>
      <c r="BB65" s="2"/>
      <c r="BC65" s="2"/>
    </row>
    <row r="66" spans="3:5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2"/>
      <c r="AX66" s="2"/>
      <c r="AY66" s="2"/>
      <c r="AZ66" s="2"/>
      <c r="BA66" s="2"/>
      <c r="BB66" s="2"/>
      <c r="BC66" s="2"/>
    </row>
    <row r="67" spans="3:5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2"/>
      <c r="AX67" s="2"/>
      <c r="AY67" s="2"/>
      <c r="AZ67" s="2"/>
      <c r="BA67" s="2"/>
      <c r="BB67" s="2"/>
      <c r="BC67" s="2"/>
    </row>
    <row r="68" spans="3:5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2"/>
      <c r="AX68" s="2"/>
      <c r="AY68" s="2"/>
      <c r="AZ68" s="2"/>
      <c r="BA68" s="2"/>
      <c r="BB68" s="2"/>
      <c r="BC68" s="2"/>
    </row>
    <row r="69" spans="3:5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2"/>
      <c r="AX69" s="2"/>
      <c r="AY69" s="2"/>
      <c r="AZ69" s="2"/>
      <c r="BA69" s="2"/>
      <c r="BB69" s="2"/>
      <c r="BC69" s="2"/>
    </row>
    <row r="70" spans="3:5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2"/>
      <c r="AX70" s="2"/>
      <c r="AY70" s="2"/>
      <c r="AZ70" s="2"/>
      <c r="BA70" s="2"/>
      <c r="BB70" s="2"/>
      <c r="BC70" s="2"/>
    </row>
    <row r="71" spans="3:5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2"/>
      <c r="AX71" s="2"/>
      <c r="AY71" s="2"/>
      <c r="AZ71" s="2"/>
      <c r="BA71" s="2"/>
      <c r="BB71" s="2"/>
      <c r="BC71" s="2"/>
    </row>
    <row r="72" spans="3:5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2"/>
      <c r="AX72" s="2"/>
      <c r="AY72" s="2"/>
      <c r="AZ72" s="2"/>
      <c r="BA72" s="2"/>
      <c r="BB72" s="2"/>
      <c r="BC72" s="2"/>
    </row>
    <row r="73" spans="3:5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2"/>
      <c r="AX73" s="2"/>
      <c r="AY73" s="2"/>
      <c r="AZ73" s="2"/>
      <c r="BA73" s="2"/>
      <c r="BB73" s="2"/>
      <c r="BC73" s="2"/>
    </row>
    <row r="74" spans="3:5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2"/>
      <c r="AX74" s="2"/>
      <c r="AY74" s="2"/>
      <c r="AZ74" s="2"/>
      <c r="BA74" s="2"/>
      <c r="BB74" s="2"/>
      <c r="BC74" s="2"/>
    </row>
    <row r="75" spans="3:5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</row>
    <row r="76" spans="3:5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</row>
    <row r="77" spans="3:5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</row>
    <row r="78" spans="3:5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</row>
    <row r="79" spans="3:5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</row>
    <row r="80" spans="3:5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</row>
    <row r="81" spans="3:48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</row>
    <row r="82" spans="3:48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</row>
    <row r="83" spans="3:48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</row>
    <row r="84" spans="3:48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</row>
    <row r="85" spans="3:48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</row>
    <row r="86" spans="3:48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</row>
    <row r="87" spans="3:48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</row>
    <row r="88" spans="3:48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</row>
    <row r="89" spans="3:48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</row>
    <row r="90" spans="3:48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</row>
    <row r="91" spans="3:48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</row>
    <row r="92" spans="3:48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</row>
    <row r="93" spans="3:48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</row>
    <row r="94" spans="3:48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</row>
    <row r="95" spans="3:48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</row>
    <row r="96" spans="3:48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</row>
    <row r="97" spans="3:48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</row>
    <row r="98" spans="3:48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</row>
    <row r="99" spans="3:48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</row>
    <row r="100" spans="3:48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</row>
    <row r="101" spans="3:48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</row>
    <row r="102" spans="3:48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</row>
    <row r="103" spans="3:48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</row>
    <row r="104" spans="3:48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</row>
    <row r="105" spans="3:48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</row>
    <row r="106" spans="3:48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</row>
    <row r="107" spans="3:48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</row>
    <row r="108" spans="3:48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</row>
    <row r="109" spans="3:48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</row>
    <row r="110" spans="3:48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</row>
    <row r="111" spans="3:48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</row>
    <row r="112" spans="3:48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</row>
    <row r="113" spans="3:48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</row>
    <row r="114" spans="3:48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</row>
    <row r="115" spans="3:48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</row>
    <row r="116" spans="3:48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</row>
    <row r="117" spans="3:48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</row>
    <row r="118" spans="3:48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</row>
    <row r="119" spans="3:48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</row>
    <row r="120" spans="3:48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</row>
    <row r="121" spans="3:48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</row>
    <row r="122" spans="3:48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</row>
    <row r="123" spans="3:48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</row>
    <row r="124" spans="3:48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</row>
    <row r="125" spans="3:48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</row>
    <row r="126" spans="3:48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</row>
    <row r="127" spans="3:48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</row>
    <row r="128" spans="3:48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</row>
    <row r="129" spans="3:48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</row>
    <row r="130" spans="3:48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</row>
    <row r="131" spans="3:48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</row>
    <row r="132" spans="3:48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</row>
    <row r="133" spans="3:48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</row>
    <row r="134" spans="3:48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</row>
    <row r="135" spans="3:48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</row>
    <row r="136" spans="3:48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</row>
    <row r="137" spans="3:48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</row>
    <row r="138" spans="3:48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</row>
    <row r="139" spans="3:48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</row>
    <row r="140" spans="3:48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</row>
    <row r="141" spans="3:48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</row>
    <row r="142" spans="3:48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</row>
    <row r="143" spans="3:48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</row>
    <row r="144" spans="3:48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</row>
    <row r="145" spans="3:48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</row>
    <row r="146" spans="3:48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</row>
    <row r="147" spans="3:48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</row>
    <row r="148" spans="3:48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</row>
    <row r="149" spans="3:48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</row>
    <row r="150" spans="3:48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</row>
    <row r="151" spans="3:48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</row>
    <row r="152" spans="3:48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</row>
    <row r="153" spans="3:48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</row>
    <row r="154" spans="3:48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</row>
    <row r="155" spans="3:48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</row>
    <row r="156" spans="3:48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</row>
    <row r="157" spans="3:48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</row>
    <row r="158" spans="3:48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</row>
    <row r="159" spans="3:48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</row>
    <row r="160" spans="3:48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</row>
    <row r="161" spans="3:48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</row>
    <row r="162" spans="3:48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</row>
    <row r="163" spans="3:48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</row>
    <row r="164" spans="3:48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</row>
    <row r="165" spans="3:48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</row>
    <row r="166" spans="3:48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</row>
    <row r="167" spans="3:48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</row>
    <row r="168" spans="3:48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</row>
    <row r="169" spans="3:48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</row>
    <row r="170" spans="3:48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</row>
    <row r="171" spans="3:48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</row>
    <row r="172" spans="3:48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</row>
    <row r="173" spans="3:48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</row>
    <row r="174" spans="3:48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</row>
    <row r="175" spans="3:48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</row>
    <row r="176" spans="3:48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</row>
    <row r="177" spans="3:48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</row>
    <row r="178" spans="3:48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</row>
    <row r="179" spans="3:48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</row>
    <row r="180" spans="3:48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</row>
    <row r="181" spans="3:48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</row>
    <row r="182" spans="3:48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</row>
    <row r="183" spans="3:48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</row>
    <row r="184" spans="3:48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</row>
    <row r="185" spans="3:48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</row>
    <row r="186" spans="3:48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</row>
    <row r="187" spans="3:48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</row>
    <row r="188" spans="3:48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</row>
    <row r="189" spans="3:48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</row>
    <row r="190" spans="3:48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</row>
    <row r="191" spans="3:48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</row>
    <row r="192" spans="3:48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</row>
    <row r="193" spans="3:48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</row>
    <row r="194" spans="3:48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</row>
    <row r="195" spans="3:48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</row>
    <row r="196" spans="3:48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</row>
    <row r="197" spans="3:48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</row>
    <row r="198" spans="3:48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</row>
    <row r="199" spans="3:48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</row>
    <row r="200" spans="3:48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</row>
    <row r="201" spans="3:48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</row>
    <row r="202" spans="3:48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</row>
    <row r="203" spans="3:48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</row>
    <row r="204" spans="3:48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</row>
    <row r="205" spans="3:48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</row>
    <row r="206" spans="3:48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</row>
    <row r="207" spans="3:48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</row>
    <row r="208" spans="3:48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</row>
    <row r="209" spans="3:48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</row>
    <row r="210" spans="3:48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</row>
    <row r="211" spans="3:48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</row>
    <row r="212" spans="3:48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</row>
    <row r="213" spans="3:48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</row>
    <row r="214" spans="3:48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</row>
    <row r="215" spans="3:48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</row>
    <row r="216" spans="3:48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</row>
    <row r="217" spans="3:48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</row>
    <row r="218" spans="3:48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</row>
    <row r="219" spans="3:48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</row>
    <row r="220" spans="3:48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</row>
    <row r="221" spans="3:48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</row>
    <row r="222" spans="3:48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</row>
    <row r="223" spans="3:48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</row>
    <row r="224" spans="3:48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</row>
    <row r="225" spans="3:48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</row>
    <row r="226" spans="3:48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</row>
    <row r="227" spans="3:48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</row>
    <row r="228" spans="3:48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</row>
    <row r="229" spans="3:48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</row>
    <row r="230" spans="3:48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88"/>
  <sheetViews>
    <sheetView topLeftCell="J1" workbookViewId="0">
      <selection activeCell="V15" sqref="V15"/>
    </sheetView>
  </sheetViews>
  <sheetFormatPr defaultRowHeight="15" x14ac:dyDescent="0.25"/>
  <cols>
    <col min="1" max="2" width="10.140625" style="1" customWidth="1"/>
    <col min="3" max="5" width="9.140625" style="6"/>
    <col min="6" max="6" width="8.7109375" style="6" customWidth="1"/>
    <col min="7" max="7" width="2.140625" style="25" customWidth="1"/>
    <col min="8" max="9" width="9.85546875" style="1" bestFit="1" customWidth="1"/>
    <col min="10" max="10" width="9.28515625" style="6" bestFit="1" customWidth="1"/>
    <col min="11" max="11" width="11.5703125" style="3" bestFit="1" customWidth="1"/>
    <col min="12" max="12" width="8.28515625" customWidth="1"/>
    <col min="13" max="13" width="2" style="25" customWidth="1"/>
    <col min="14" max="15" width="9.85546875" style="1" bestFit="1" customWidth="1"/>
    <col min="16" max="16" width="9.28515625" style="6" bestFit="1" customWidth="1"/>
    <col min="17" max="17" width="11.5703125" style="3" bestFit="1" customWidth="1"/>
    <col min="18" max="18" width="8.28515625" customWidth="1"/>
    <col min="19" max="19" width="2" style="25" customWidth="1"/>
    <col min="20" max="21" width="9.85546875" style="1" bestFit="1" customWidth="1"/>
    <col min="22" max="22" width="9.28515625" style="6" bestFit="1" customWidth="1"/>
    <col min="23" max="23" width="11.5703125" style="3" bestFit="1" customWidth="1"/>
    <col min="24" max="24" width="8.28515625" customWidth="1"/>
  </cols>
  <sheetData>
    <row r="1" spans="1:24" x14ac:dyDescent="0.25">
      <c r="A1" s="5" t="s">
        <v>56</v>
      </c>
      <c r="H1" s="8" t="s">
        <v>57</v>
      </c>
      <c r="I1" s="9"/>
      <c r="J1" s="10"/>
      <c r="K1" s="11"/>
      <c r="L1" s="12"/>
      <c r="N1" s="1" t="s">
        <v>58</v>
      </c>
      <c r="T1" s="1" t="s">
        <v>59</v>
      </c>
    </row>
    <row r="2" spans="1:24" x14ac:dyDescent="0.25">
      <c r="A2" s="1" t="s">
        <v>0</v>
      </c>
      <c r="B2" s="1" t="s">
        <v>1</v>
      </c>
      <c r="C2" s="6" t="s">
        <v>10</v>
      </c>
      <c r="D2" s="6" t="s">
        <v>9</v>
      </c>
      <c r="E2" s="6" t="s">
        <v>8</v>
      </c>
      <c r="F2" s="6" t="s">
        <v>7</v>
      </c>
      <c r="H2" s="13" t="s">
        <v>0</v>
      </c>
      <c r="I2" s="14" t="s">
        <v>1</v>
      </c>
      <c r="J2" s="15" t="s">
        <v>2</v>
      </c>
      <c r="K2" s="16" t="s">
        <v>3</v>
      </c>
      <c r="L2" s="17" t="str">
        <f>+D2</f>
        <v>.DJI</v>
      </c>
      <c r="N2" s="1" t="s">
        <v>0</v>
      </c>
      <c r="O2" s="1" t="s">
        <v>1</v>
      </c>
      <c r="P2" s="6" t="s">
        <v>2</v>
      </c>
      <c r="Q2" s="3" t="s">
        <v>3</v>
      </c>
      <c r="R2" s="7" t="str">
        <f>+F2</f>
        <v>OSPTX</v>
      </c>
      <c r="T2" s="1" t="s">
        <v>0</v>
      </c>
      <c r="U2" s="1" t="s">
        <v>1</v>
      </c>
      <c r="V2" s="6" t="s">
        <v>2</v>
      </c>
      <c r="W2" s="3" t="s">
        <v>3</v>
      </c>
      <c r="X2" s="7" t="str">
        <f>+C2</f>
        <v>.INX</v>
      </c>
    </row>
    <row r="3" spans="1:24" x14ac:dyDescent="0.25">
      <c r="A3" s="1" t="s">
        <v>4</v>
      </c>
      <c r="B3" s="1" t="s">
        <v>4</v>
      </c>
      <c r="C3" s="6" t="s">
        <v>5</v>
      </c>
      <c r="D3" s="6" t="s">
        <v>5</v>
      </c>
      <c r="E3" s="6" t="s">
        <v>5</v>
      </c>
      <c r="F3" s="6" t="s">
        <v>5</v>
      </c>
      <c r="H3" s="13" t="s">
        <v>4</v>
      </c>
      <c r="I3" s="14" t="s">
        <v>4</v>
      </c>
      <c r="J3" s="15" t="s">
        <v>5</v>
      </c>
      <c r="K3" s="16" t="s">
        <v>6</v>
      </c>
      <c r="L3" s="18"/>
      <c r="N3" s="1" t="s">
        <v>4</v>
      </c>
      <c r="O3" s="1" t="s">
        <v>4</v>
      </c>
      <c r="P3" s="6" t="s">
        <v>5</v>
      </c>
      <c r="Q3" s="3" t="s">
        <v>6</v>
      </c>
      <c r="T3" s="1" t="s">
        <v>4</v>
      </c>
      <c r="U3" s="1" t="s">
        <v>4</v>
      </c>
      <c r="V3" s="6" t="s">
        <v>5</v>
      </c>
      <c r="W3" s="3" t="s">
        <v>6</v>
      </c>
    </row>
    <row r="4" spans="1:24" x14ac:dyDescent="0.25">
      <c r="A4" s="1">
        <v>40179</v>
      </c>
      <c r="B4" s="1">
        <v>40269</v>
      </c>
      <c r="C4" s="6">
        <v>5.65</v>
      </c>
      <c r="D4" s="6">
        <v>4.79</v>
      </c>
      <c r="E4" s="6">
        <v>5.68</v>
      </c>
      <c r="F4" s="6">
        <v>3.45</v>
      </c>
      <c r="H4" s="13">
        <v>40179</v>
      </c>
      <c r="I4" s="14">
        <v>40269</v>
      </c>
      <c r="J4" s="15">
        <v>-15.1</v>
      </c>
      <c r="K4" s="16">
        <v>48303</v>
      </c>
      <c r="L4" s="19">
        <f>IF(H4="","",J4-VLOOKUP(H4,$A:$F,MATCH($L$2,$A$2:$F$2,0),FALSE))</f>
        <v>-19.89</v>
      </c>
      <c r="N4" s="1">
        <v>40179</v>
      </c>
      <c r="O4" s="1">
        <v>40269</v>
      </c>
      <c r="P4" s="6">
        <v>-9.36</v>
      </c>
      <c r="Q4" s="3">
        <v>72997</v>
      </c>
      <c r="R4" s="4">
        <f>IF(N4="","",P4-VLOOKUP(N4,$A:$F,MATCH(R$2,$A$2:$F$2,0),FALSE))</f>
        <v>-12.809999999999999</v>
      </c>
      <c r="T4" s="1">
        <v>40179</v>
      </c>
      <c r="U4" s="1">
        <v>40269</v>
      </c>
      <c r="V4" s="6">
        <v>0</v>
      </c>
      <c r="X4" s="4"/>
    </row>
    <row r="5" spans="1:24" x14ac:dyDescent="0.25">
      <c r="A5" s="1">
        <v>40269</v>
      </c>
      <c r="B5" s="1">
        <v>40360</v>
      </c>
      <c r="C5" s="6">
        <v>-12.79</v>
      </c>
      <c r="D5" s="6">
        <v>-10.93</v>
      </c>
      <c r="E5" s="6">
        <v>-12.37</v>
      </c>
      <c r="F5" s="6">
        <v>-7.05</v>
      </c>
      <c r="H5" s="13">
        <v>40269</v>
      </c>
      <c r="I5" s="14">
        <v>40360</v>
      </c>
      <c r="J5" s="15">
        <v>-1.29</v>
      </c>
      <c r="K5" s="16">
        <v>47682</v>
      </c>
      <c r="L5" s="19">
        <f t="shared" ref="L5:L68" si="0">IF(H5="","",J5-VLOOKUP(H5,$A:$F,MATCH($L$2,$A$2:$F$2,0),FALSE))</f>
        <v>9.64</v>
      </c>
      <c r="N5" s="1">
        <v>40269</v>
      </c>
      <c r="O5" s="1">
        <v>40360</v>
      </c>
      <c r="P5" s="6">
        <v>-5.39</v>
      </c>
      <c r="Q5" s="3">
        <v>69783</v>
      </c>
      <c r="R5" s="4">
        <f t="shared" ref="R5:R68" si="1">IF(N5="","",P5-VLOOKUP(N5,$A:$F,MATCH(R$2,$A$2:$F$2,0),FALSE))</f>
        <v>1.6600000000000001</v>
      </c>
      <c r="T5" s="1">
        <v>40269</v>
      </c>
      <c r="U5" s="1">
        <v>40360</v>
      </c>
      <c r="V5" s="6">
        <v>0</v>
      </c>
      <c r="X5" s="4"/>
    </row>
    <row r="6" spans="1:24" x14ac:dyDescent="0.25">
      <c r="A6" s="1">
        <v>40360</v>
      </c>
      <c r="B6" s="1">
        <v>40452</v>
      </c>
      <c r="C6" s="6">
        <v>11.57</v>
      </c>
      <c r="D6" s="6">
        <v>11.27</v>
      </c>
      <c r="E6" s="6">
        <v>12.82</v>
      </c>
      <c r="F6" s="6">
        <v>9.4600000000000009</v>
      </c>
      <c r="H6" s="13">
        <v>40360</v>
      </c>
      <c r="I6" s="14">
        <v>40452</v>
      </c>
      <c r="J6" s="15">
        <v>6.76</v>
      </c>
      <c r="K6" s="16">
        <v>124617</v>
      </c>
      <c r="L6" s="19">
        <f t="shared" si="0"/>
        <v>-4.51</v>
      </c>
      <c r="N6" s="1">
        <v>40360</v>
      </c>
      <c r="O6" s="1">
        <v>40452</v>
      </c>
      <c r="P6" s="6">
        <v>7.13</v>
      </c>
      <c r="Q6" s="3">
        <v>147721</v>
      </c>
      <c r="R6" s="4">
        <f t="shared" si="1"/>
        <v>-2.330000000000001</v>
      </c>
      <c r="T6" s="1">
        <v>40360</v>
      </c>
      <c r="U6" s="1">
        <v>40452</v>
      </c>
      <c r="V6" s="6">
        <v>2.5499999999999998</v>
      </c>
      <c r="W6" s="3">
        <v>27190</v>
      </c>
      <c r="X6" s="4">
        <f t="shared" ref="X5:X68" si="2">IF(T6="","",V6-VLOOKUP(T6,$A:$F,MATCH(X$2,$A$2:$F$2,0),FALSE))</f>
        <v>-9.02</v>
      </c>
    </row>
    <row r="7" spans="1:24" x14ac:dyDescent="0.25">
      <c r="A7" s="1">
        <v>40452</v>
      </c>
      <c r="B7" s="1">
        <v>40544</v>
      </c>
      <c r="C7" s="6">
        <v>9.7200000000000006</v>
      </c>
      <c r="D7" s="6">
        <v>6.91</v>
      </c>
      <c r="E7" s="6">
        <v>11.9</v>
      </c>
      <c r="F7" s="6">
        <v>8.74</v>
      </c>
      <c r="H7" s="13">
        <v>40452</v>
      </c>
      <c r="I7" s="14">
        <v>40544</v>
      </c>
      <c r="J7" s="15">
        <v>8.31</v>
      </c>
      <c r="K7" s="16">
        <v>133078</v>
      </c>
      <c r="L7" s="19">
        <f t="shared" si="0"/>
        <v>1.4000000000000004</v>
      </c>
      <c r="N7" s="1">
        <v>40452</v>
      </c>
      <c r="O7" s="1">
        <v>40544</v>
      </c>
      <c r="P7" s="6">
        <v>7.89</v>
      </c>
      <c r="Q7" s="3">
        <v>157478</v>
      </c>
      <c r="R7" s="4">
        <f t="shared" si="1"/>
        <v>-0.85000000000000053</v>
      </c>
      <c r="T7" s="1">
        <v>40452</v>
      </c>
      <c r="U7" s="1">
        <v>40544</v>
      </c>
      <c r="V7" s="6">
        <v>7.59</v>
      </c>
      <c r="W7" s="3">
        <v>29253</v>
      </c>
      <c r="X7" s="4">
        <f t="shared" si="2"/>
        <v>-2.1300000000000008</v>
      </c>
    </row>
    <row r="8" spans="1:24" x14ac:dyDescent="0.25">
      <c r="A8" s="1">
        <v>40544</v>
      </c>
      <c r="B8" s="1">
        <v>40634</v>
      </c>
      <c r="C8" s="6">
        <v>5.95</v>
      </c>
      <c r="D8" s="6">
        <v>6.9</v>
      </c>
      <c r="E8" s="6">
        <v>5.15</v>
      </c>
      <c r="F8" s="6">
        <v>5.1100000000000003</v>
      </c>
      <c r="H8" s="13">
        <v>40544</v>
      </c>
      <c r="I8" s="14">
        <v>40634</v>
      </c>
      <c r="J8" s="15">
        <v>3.63</v>
      </c>
      <c r="K8" s="16">
        <v>140688</v>
      </c>
      <c r="L8" s="19">
        <f t="shared" si="0"/>
        <v>-3.2700000000000005</v>
      </c>
      <c r="N8" s="1">
        <v>40544</v>
      </c>
      <c r="O8" s="1">
        <v>40634</v>
      </c>
      <c r="P8" s="6">
        <v>4.5199999999999996</v>
      </c>
      <c r="Q8" s="3">
        <v>170452</v>
      </c>
      <c r="R8" s="4">
        <f t="shared" si="1"/>
        <v>-0.59000000000000075</v>
      </c>
      <c r="T8" s="1">
        <v>40544</v>
      </c>
      <c r="U8" s="1">
        <v>40634</v>
      </c>
      <c r="V8" s="6">
        <v>7.43</v>
      </c>
      <c r="W8" s="3">
        <v>24013</v>
      </c>
      <c r="X8" s="4">
        <f t="shared" si="2"/>
        <v>1.4799999999999995</v>
      </c>
    </row>
    <row r="9" spans="1:24" x14ac:dyDescent="0.25">
      <c r="A9" s="1">
        <v>40634</v>
      </c>
      <c r="B9" s="1">
        <v>40725</v>
      </c>
      <c r="C9" s="6">
        <v>0.54</v>
      </c>
      <c r="D9" s="6">
        <v>1.66</v>
      </c>
      <c r="E9" s="6">
        <v>0.95</v>
      </c>
      <c r="F9" s="6">
        <v>-5.87</v>
      </c>
      <c r="H9" s="13">
        <v>40634</v>
      </c>
      <c r="I9" s="14">
        <v>40725</v>
      </c>
      <c r="J9" s="15">
        <v>-5.69</v>
      </c>
      <c r="K9" s="16">
        <v>142108</v>
      </c>
      <c r="L9" s="19">
        <f t="shared" si="0"/>
        <v>-7.3500000000000005</v>
      </c>
      <c r="N9" s="1">
        <v>40634</v>
      </c>
      <c r="O9" s="1">
        <v>40725</v>
      </c>
      <c r="P9" s="6">
        <v>-5.57</v>
      </c>
      <c r="Q9" s="3">
        <v>186839</v>
      </c>
      <c r="R9" s="4">
        <f t="shared" si="1"/>
        <v>0.29999999999999982</v>
      </c>
      <c r="T9" s="1">
        <v>40634</v>
      </c>
      <c r="U9" s="1">
        <v>40725</v>
      </c>
      <c r="V9" s="6">
        <v>-1.0900000000000001</v>
      </c>
      <c r="W9" s="3">
        <v>40082</v>
      </c>
      <c r="X9" s="4">
        <f t="shared" si="2"/>
        <v>-1.6300000000000001</v>
      </c>
    </row>
    <row r="10" spans="1:24" x14ac:dyDescent="0.25">
      <c r="A10" s="1">
        <v>40725</v>
      </c>
      <c r="B10" s="1">
        <v>40817</v>
      </c>
      <c r="C10" s="6">
        <v>-15.54</v>
      </c>
      <c r="D10" s="6">
        <v>-13.27</v>
      </c>
      <c r="E10" s="6">
        <v>-14.23</v>
      </c>
      <c r="F10" s="6">
        <v>-12.61</v>
      </c>
      <c r="H10" s="13">
        <v>40725</v>
      </c>
      <c r="I10" s="14">
        <v>40817</v>
      </c>
      <c r="J10" s="15">
        <v>-11.93</v>
      </c>
      <c r="K10" s="16">
        <v>125152</v>
      </c>
      <c r="L10" s="19">
        <f t="shared" si="0"/>
        <v>1.3399999999999999</v>
      </c>
      <c r="N10" s="1">
        <v>40725</v>
      </c>
      <c r="O10" s="1">
        <v>40817</v>
      </c>
      <c r="P10" s="6">
        <v>-10.08</v>
      </c>
      <c r="Q10" s="3">
        <v>184646</v>
      </c>
      <c r="R10" s="4">
        <f t="shared" si="1"/>
        <v>2.5299999999999994</v>
      </c>
      <c r="T10" s="1">
        <v>40725</v>
      </c>
      <c r="U10" s="1">
        <v>40817</v>
      </c>
      <c r="V10" s="6">
        <v>-1.02</v>
      </c>
      <c r="W10" s="3">
        <v>39674</v>
      </c>
      <c r="X10" s="4">
        <f t="shared" si="2"/>
        <v>14.52</v>
      </c>
    </row>
    <row r="11" spans="1:24" x14ac:dyDescent="0.25">
      <c r="A11" s="1">
        <v>40817</v>
      </c>
      <c r="B11" s="1">
        <v>40909</v>
      </c>
      <c r="C11" s="6">
        <v>11.15</v>
      </c>
      <c r="D11" s="6">
        <v>11.95</v>
      </c>
      <c r="E11" s="6">
        <v>7.86</v>
      </c>
      <c r="F11" s="6">
        <v>2.85</v>
      </c>
      <c r="H11" s="13">
        <v>40817</v>
      </c>
      <c r="I11" s="14">
        <v>40909</v>
      </c>
      <c r="J11" s="15">
        <v>1.49</v>
      </c>
      <c r="K11" s="16">
        <v>127011</v>
      </c>
      <c r="L11" s="19">
        <f t="shared" si="0"/>
        <v>-10.459999999999999</v>
      </c>
      <c r="N11" s="1">
        <v>40817</v>
      </c>
      <c r="O11" s="1">
        <v>40909</v>
      </c>
      <c r="P11" s="6">
        <v>3.86</v>
      </c>
      <c r="Q11" s="3">
        <v>189286</v>
      </c>
      <c r="R11" s="4">
        <f t="shared" si="1"/>
        <v>1.0099999999999998</v>
      </c>
      <c r="T11" s="1">
        <v>40817</v>
      </c>
      <c r="U11" s="1">
        <v>40909</v>
      </c>
      <c r="V11" s="6">
        <v>4.45</v>
      </c>
      <c r="W11" s="3">
        <v>41437</v>
      </c>
      <c r="X11" s="4">
        <f t="shared" si="2"/>
        <v>-6.7</v>
      </c>
    </row>
    <row r="12" spans="1:24" x14ac:dyDescent="0.25">
      <c r="A12" s="1">
        <v>40909</v>
      </c>
      <c r="B12" s="1">
        <v>41000</v>
      </c>
      <c r="C12" s="6">
        <v>12</v>
      </c>
      <c r="D12" s="6">
        <v>8.14</v>
      </c>
      <c r="E12" s="6">
        <v>18.670000000000002</v>
      </c>
      <c r="F12" s="6">
        <v>3.66</v>
      </c>
      <c r="H12" s="13">
        <v>40909</v>
      </c>
      <c r="I12" s="14">
        <v>41000</v>
      </c>
      <c r="J12" s="15">
        <v>5.29</v>
      </c>
      <c r="K12" s="16">
        <v>145993</v>
      </c>
      <c r="L12" s="19">
        <f t="shared" si="0"/>
        <v>-2.8500000000000005</v>
      </c>
      <c r="N12" s="1">
        <v>40909</v>
      </c>
      <c r="O12" s="1">
        <v>41000</v>
      </c>
      <c r="P12" s="6">
        <v>4.82</v>
      </c>
      <c r="Q12" s="3">
        <v>219386</v>
      </c>
      <c r="R12" s="4">
        <f t="shared" si="1"/>
        <v>1.1600000000000001</v>
      </c>
      <c r="T12" s="1">
        <v>40909</v>
      </c>
      <c r="U12" s="1">
        <v>41000</v>
      </c>
      <c r="V12" s="6">
        <v>15.2</v>
      </c>
      <c r="W12" s="3">
        <v>49071</v>
      </c>
      <c r="X12" s="4">
        <f t="shared" si="2"/>
        <v>3.1999999999999993</v>
      </c>
    </row>
    <row r="13" spans="1:24" x14ac:dyDescent="0.25">
      <c r="A13" s="1">
        <v>41000</v>
      </c>
      <c r="B13" s="1">
        <v>41091</v>
      </c>
      <c r="C13" s="6">
        <v>-3.29</v>
      </c>
      <c r="D13" s="6">
        <v>-2.5099999999999998</v>
      </c>
      <c r="E13" s="6">
        <v>-5.0599999999999996</v>
      </c>
      <c r="F13" s="6">
        <v>-6.42</v>
      </c>
      <c r="H13" s="13">
        <v>41000</v>
      </c>
      <c r="I13" s="14">
        <v>41091</v>
      </c>
      <c r="J13" s="15">
        <v>-8.3000000000000007</v>
      </c>
      <c r="K13" s="16">
        <v>133881</v>
      </c>
      <c r="L13" s="19">
        <f t="shared" si="0"/>
        <v>-5.7900000000000009</v>
      </c>
      <c r="N13" s="1">
        <v>41000</v>
      </c>
      <c r="O13" s="1">
        <v>41091</v>
      </c>
      <c r="P13" s="6">
        <v>-7.96</v>
      </c>
      <c r="Q13" s="3">
        <v>218274</v>
      </c>
      <c r="R13" s="4">
        <f t="shared" si="1"/>
        <v>-1.54</v>
      </c>
      <c r="T13" s="1">
        <v>41000</v>
      </c>
      <c r="U13" s="1">
        <v>41091</v>
      </c>
      <c r="V13" s="6">
        <v>-3.86</v>
      </c>
      <c r="W13" s="3">
        <v>47177</v>
      </c>
      <c r="X13" s="4">
        <f t="shared" si="2"/>
        <v>-0.56999999999999984</v>
      </c>
    </row>
    <row r="14" spans="1:24" x14ac:dyDescent="0.25">
      <c r="A14" s="1">
        <v>41091</v>
      </c>
      <c r="B14" s="1">
        <v>41183</v>
      </c>
      <c r="C14" s="6">
        <v>6.04</v>
      </c>
      <c r="D14" s="6">
        <v>4.93</v>
      </c>
      <c r="E14" s="6">
        <v>6.08</v>
      </c>
      <c r="F14" s="6">
        <v>6.67</v>
      </c>
      <c r="H14" s="13">
        <v>41091</v>
      </c>
      <c r="I14" s="14">
        <v>41183</v>
      </c>
      <c r="J14" s="15">
        <v>7.99</v>
      </c>
      <c r="K14" s="16">
        <v>144584</v>
      </c>
      <c r="L14" s="19">
        <f t="shared" si="0"/>
        <v>3.0600000000000005</v>
      </c>
      <c r="N14" s="1">
        <v>41091</v>
      </c>
      <c r="O14" s="1">
        <v>41183</v>
      </c>
      <c r="P14" s="6">
        <v>7.94</v>
      </c>
      <c r="Q14" s="3">
        <v>206872</v>
      </c>
      <c r="R14" s="4">
        <f t="shared" si="1"/>
        <v>1.2700000000000005</v>
      </c>
      <c r="T14" s="1">
        <v>41091</v>
      </c>
      <c r="U14" s="1">
        <v>41183</v>
      </c>
      <c r="V14" s="6">
        <v>9.41</v>
      </c>
      <c r="W14" s="3">
        <v>51616</v>
      </c>
      <c r="X14" s="4">
        <f t="shared" si="2"/>
        <v>3.37</v>
      </c>
    </row>
    <row r="15" spans="1:24" x14ac:dyDescent="0.25">
      <c r="A15" s="1">
        <v>41183</v>
      </c>
      <c r="B15" s="1">
        <v>41275</v>
      </c>
      <c r="C15" s="6">
        <v>-1.27</v>
      </c>
      <c r="D15" s="6">
        <v>-3.04</v>
      </c>
      <c r="E15" s="6">
        <v>-3.02</v>
      </c>
      <c r="F15" s="6">
        <v>0.51</v>
      </c>
      <c r="H15" s="13">
        <v>41183</v>
      </c>
      <c r="I15" s="14">
        <v>41275</v>
      </c>
      <c r="J15" s="15">
        <v>-0.37</v>
      </c>
      <c r="K15" s="16">
        <v>144054</v>
      </c>
      <c r="L15" s="19">
        <f t="shared" si="0"/>
        <v>2.67</v>
      </c>
      <c r="N15" s="1">
        <v>41183</v>
      </c>
      <c r="O15" s="1">
        <v>41275</v>
      </c>
      <c r="P15" s="6">
        <v>4.25</v>
      </c>
      <c r="Q15" s="3">
        <v>219344</v>
      </c>
      <c r="R15" s="4">
        <f t="shared" si="1"/>
        <v>3.74</v>
      </c>
      <c r="T15" s="1">
        <v>41183</v>
      </c>
      <c r="U15" s="1">
        <v>41275</v>
      </c>
      <c r="V15" s="6">
        <v>-10.039999999999999</v>
      </c>
      <c r="W15" s="3">
        <v>46434</v>
      </c>
      <c r="X15" s="4">
        <f t="shared" si="2"/>
        <v>-8.77</v>
      </c>
    </row>
    <row r="16" spans="1:24" x14ac:dyDescent="0.25">
      <c r="A16" s="1">
        <v>41275</v>
      </c>
      <c r="B16" s="1">
        <v>41365</v>
      </c>
      <c r="C16" s="6">
        <v>9.5299999999999994</v>
      </c>
      <c r="D16" s="6">
        <v>11.21</v>
      </c>
      <c r="E16" s="6">
        <v>7.27</v>
      </c>
      <c r="F16" s="6">
        <v>2.1</v>
      </c>
      <c r="H16" s="13">
        <v>41275</v>
      </c>
      <c r="I16" s="14">
        <v>41365</v>
      </c>
      <c r="J16" s="15">
        <v>1.61</v>
      </c>
      <c r="K16" s="16">
        <v>152632</v>
      </c>
      <c r="L16" s="19">
        <f t="shared" si="0"/>
        <v>-9.6000000000000014</v>
      </c>
      <c r="N16" s="1">
        <v>41275</v>
      </c>
      <c r="O16" s="1">
        <v>41365</v>
      </c>
      <c r="P16" s="6">
        <v>-2.61</v>
      </c>
      <c r="Q16" s="3">
        <v>207840</v>
      </c>
      <c r="R16" s="4">
        <f t="shared" si="1"/>
        <v>-4.71</v>
      </c>
      <c r="T16" s="1">
        <v>41275</v>
      </c>
      <c r="U16" s="1">
        <v>41365</v>
      </c>
      <c r="V16" s="6">
        <v>-8.5299999999999994</v>
      </c>
      <c r="W16" s="3">
        <v>42471</v>
      </c>
      <c r="X16" s="4">
        <f t="shared" si="2"/>
        <v>-18.059999999999999</v>
      </c>
    </row>
    <row r="17" spans="1:24" x14ac:dyDescent="0.25">
      <c r="A17" s="1">
        <v>41365</v>
      </c>
      <c r="B17" s="1">
        <v>41456</v>
      </c>
      <c r="C17" s="6">
        <v>3.38</v>
      </c>
      <c r="D17" s="6">
        <v>2.76</v>
      </c>
      <c r="E17" s="6">
        <v>6.03</v>
      </c>
      <c r="F17" s="6">
        <v>-4.46</v>
      </c>
      <c r="H17" s="13">
        <v>41365</v>
      </c>
      <c r="I17" s="14">
        <v>41456</v>
      </c>
      <c r="J17" s="15">
        <v>-4.29</v>
      </c>
      <c r="K17" s="16">
        <v>150475</v>
      </c>
      <c r="L17" s="19">
        <f t="shared" si="0"/>
        <v>-7.05</v>
      </c>
      <c r="N17" s="1">
        <v>41365</v>
      </c>
      <c r="O17" s="1">
        <v>41456</v>
      </c>
      <c r="P17" s="6">
        <v>-3.87</v>
      </c>
      <c r="Q17" s="3">
        <v>208660</v>
      </c>
      <c r="R17" s="4">
        <f t="shared" si="1"/>
        <v>0.58999999999999986</v>
      </c>
      <c r="T17" s="1">
        <v>41365</v>
      </c>
      <c r="U17" s="1">
        <v>41456</v>
      </c>
      <c r="V17" s="6">
        <v>-3.83</v>
      </c>
      <c r="W17" s="3">
        <v>40842</v>
      </c>
      <c r="X17" s="4">
        <f t="shared" si="2"/>
        <v>-7.21</v>
      </c>
    </row>
    <row r="18" spans="1:24" x14ac:dyDescent="0.25">
      <c r="A18" s="1">
        <v>41456</v>
      </c>
      <c r="B18" s="1">
        <v>41548</v>
      </c>
      <c r="C18" s="6">
        <v>4.96</v>
      </c>
      <c r="D18" s="6">
        <v>1.45</v>
      </c>
      <c r="E18" s="6">
        <v>11.17</v>
      </c>
      <c r="F18" s="6">
        <v>5.92</v>
      </c>
      <c r="H18" s="13">
        <v>41456</v>
      </c>
      <c r="I18" s="14">
        <v>41548</v>
      </c>
      <c r="J18" s="15">
        <v>1.0900000000000001</v>
      </c>
      <c r="K18" s="16">
        <v>135393</v>
      </c>
      <c r="L18" s="19">
        <f t="shared" si="0"/>
        <v>-0.35999999999999988</v>
      </c>
      <c r="N18" s="1">
        <v>41456</v>
      </c>
      <c r="O18" s="1">
        <v>41548</v>
      </c>
      <c r="P18" s="6">
        <v>2.67</v>
      </c>
      <c r="Q18" s="3">
        <v>193544</v>
      </c>
      <c r="R18" s="4">
        <f t="shared" si="1"/>
        <v>-3.25</v>
      </c>
      <c r="T18" s="1">
        <v>41456</v>
      </c>
      <c r="U18" s="1">
        <v>41548</v>
      </c>
      <c r="V18" s="6">
        <v>11.99</v>
      </c>
      <c r="W18" s="3">
        <v>45739</v>
      </c>
      <c r="X18" s="4">
        <f t="shared" si="2"/>
        <v>7.03</v>
      </c>
    </row>
    <row r="19" spans="1:24" x14ac:dyDescent="0.25">
      <c r="A19" s="1">
        <v>41548</v>
      </c>
      <c r="B19" s="1">
        <v>41640</v>
      </c>
      <c r="C19" s="6">
        <v>9.0500000000000007</v>
      </c>
      <c r="D19" s="6">
        <v>9.1199999999999992</v>
      </c>
      <c r="E19" s="6">
        <v>9.39</v>
      </c>
      <c r="F19" s="6">
        <v>6.03</v>
      </c>
      <c r="H19" s="13">
        <v>41548</v>
      </c>
      <c r="I19" s="14">
        <v>41640</v>
      </c>
      <c r="J19" s="15">
        <v>3.81</v>
      </c>
      <c r="K19" s="16">
        <v>146862</v>
      </c>
      <c r="L19" s="19">
        <f t="shared" si="0"/>
        <v>-5.3099999999999987</v>
      </c>
      <c r="N19" s="1">
        <v>41548</v>
      </c>
      <c r="O19" s="1">
        <v>41640</v>
      </c>
      <c r="P19" s="6">
        <v>4.16</v>
      </c>
      <c r="Q19" s="3">
        <v>191426</v>
      </c>
      <c r="R19" s="4">
        <f t="shared" si="1"/>
        <v>-1.87</v>
      </c>
      <c r="T19" s="1">
        <v>41548</v>
      </c>
      <c r="U19" s="1">
        <v>41640</v>
      </c>
      <c r="V19" s="6">
        <v>10.58</v>
      </c>
      <c r="W19" s="3">
        <v>50577</v>
      </c>
      <c r="X19" s="4">
        <f t="shared" si="2"/>
        <v>1.5299999999999994</v>
      </c>
    </row>
    <row r="20" spans="1:24" x14ac:dyDescent="0.25">
      <c r="A20" s="1">
        <v>41640</v>
      </c>
      <c r="B20" s="1">
        <v>41730</v>
      </c>
      <c r="C20" s="6">
        <v>2.0099999999999998</v>
      </c>
      <c r="D20" s="6">
        <v>-0.27</v>
      </c>
      <c r="E20" s="6">
        <v>2.19</v>
      </c>
      <c r="F20" s="6">
        <v>5.57</v>
      </c>
      <c r="H20" s="13">
        <v>41640</v>
      </c>
      <c r="I20" s="14">
        <v>41730</v>
      </c>
      <c r="J20" s="15">
        <v>2.4900000000000002</v>
      </c>
      <c r="K20" s="16">
        <v>165165</v>
      </c>
      <c r="L20" s="19">
        <f t="shared" si="0"/>
        <v>2.7600000000000002</v>
      </c>
      <c r="N20" s="1">
        <v>41640</v>
      </c>
      <c r="O20" s="1">
        <v>41730</v>
      </c>
      <c r="P20" s="6">
        <v>2.5099999999999998</v>
      </c>
      <c r="Q20" s="3">
        <v>217075</v>
      </c>
      <c r="R20" s="4">
        <f t="shared" si="1"/>
        <v>-3.0600000000000005</v>
      </c>
      <c r="T20" s="1">
        <v>41640</v>
      </c>
      <c r="U20" s="1">
        <v>41730</v>
      </c>
      <c r="V20" s="6">
        <v>-0.36</v>
      </c>
      <c r="W20" s="3">
        <v>66800</v>
      </c>
      <c r="X20" s="4">
        <f t="shared" si="2"/>
        <v>-2.3699999999999997</v>
      </c>
    </row>
    <row r="21" spans="1:24" x14ac:dyDescent="0.25">
      <c r="A21" s="1">
        <v>41730</v>
      </c>
      <c r="B21" s="1">
        <v>41821</v>
      </c>
      <c r="C21" s="6">
        <v>4.66</v>
      </c>
      <c r="D21" s="6">
        <v>2.56</v>
      </c>
      <c r="E21" s="6">
        <v>4.47</v>
      </c>
      <c r="F21" s="6">
        <v>5.32</v>
      </c>
      <c r="H21" s="13">
        <v>41730</v>
      </c>
      <c r="I21" s="14">
        <v>41821</v>
      </c>
      <c r="J21" s="15">
        <v>4.03</v>
      </c>
      <c r="K21" s="16">
        <v>194316</v>
      </c>
      <c r="L21" s="19">
        <f t="shared" si="0"/>
        <v>1.4700000000000002</v>
      </c>
      <c r="N21" s="1">
        <v>41730</v>
      </c>
      <c r="O21" s="1">
        <v>41821</v>
      </c>
      <c r="P21" s="6">
        <v>3.96</v>
      </c>
      <c r="Q21" s="3">
        <v>258419</v>
      </c>
      <c r="R21" s="4">
        <f t="shared" si="1"/>
        <v>-1.3600000000000003</v>
      </c>
      <c r="T21" s="1">
        <v>41730</v>
      </c>
      <c r="U21" s="1">
        <v>41821</v>
      </c>
      <c r="V21" s="6">
        <v>4.7</v>
      </c>
      <c r="W21" s="3">
        <v>59019</v>
      </c>
      <c r="X21" s="4">
        <f t="shared" si="2"/>
        <v>4.0000000000000036E-2</v>
      </c>
    </row>
    <row r="22" spans="1:24" x14ac:dyDescent="0.25">
      <c r="A22" s="1">
        <v>41821</v>
      </c>
      <c r="B22" s="1">
        <v>41913</v>
      </c>
      <c r="C22" s="6">
        <v>-1.38</v>
      </c>
      <c r="D22" s="6">
        <v>-0.89</v>
      </c>
      <c r="E22" s="6">
        <v>-0.82</v>
      </c>
      <c r="F22" s="6">
        <v>-2.25</v>
      </c>
      <c r="H22" s="13">
        <v>41821</v>
      </c>
      <c r="I22" s="14">
        <v>41913</v>
      </c>
      <c r="J22" s="15">
        <v>-2.46</v>
      </c>
      <c r="K22" s="16">
        <v>188305</v>
      </c>
      <c r="L22" s="19">
        <f t="shared" si="0"/>
        <v>-1.5699999999999998</v>
      </c>
      <c r="N22" s="1">
        <v>41821</v>
      </c>
      <c r="O22" s="1">
        <v>41913</v>
      </c>
      <c r="P22" s="6">
        <v>-2.16</v>
      </c>
      <c r="Q22" s="3">
        <v>254035</v>
      </c>
      <c r="R22" s="4">
        <f t="shared" si="1"/>
        <v>8.9999999999999858E-2</v>
      </c>
      <c r="T22" s="1">
        <v>41821</v>
      </c>
      <c r="U22" s="1">
        <v>41913</v>
      </c>
      <c r="V22" s="6">
        <v>0.75</v>
      </c>
      <c r="W22" s="3">
        <v>59463</v>
      </c>
      <c r="X22" s="4">
        <f t="shared" si="2"/>
        <v>2.13</v>
      </c>
    </row>
    <row r="23" spans="1:24" x14ac:dyDescent="0.25">
      <c r="A23" s="1">
        <v>41913</v>
      </c>
      <c r="B23" s="1">
        <v>42005</v>
      </c>
      <c r="C23" s="6">
        <v>5.79</v>
      </c>
      <c r="D23" s="6">
        <v>6.06</v>
      </c>
      <c r="E23" s="6">
        <v>7.1</v>
      </c>
      <c r="F23" s="6">
        <v>-1.17</v>
      </c>
      <c r="H23" s="13">
        <v>41913</v>
      </c>
      <c r="I23" s="14">
        <v>42005</v>
      </c>
      <c r="J23" s="15">
        <v>-0.77</v>
      </c>
      <c r="K23" s="16">
        <v>182342</v>
      </c>
      <c r="L23" s="19">
        <f t="shared" si="0"/>
        <v>-6.83</v>
      </c>
      <c r="N23" s="1">
        <v>41913</v>
      </c>
      <c r="O23" s="1">
        <v>42005</v>
      </c>
      <c r="P23" s="6">
        <v>-0.33</v>
      </c>
      <c r="Q23" s="3">
        <v>239395</v>
      </c>
      <c r="R23" s="4">
        <f t="shared" si="1"/>
        <v>0.83999999999999986</v>
      </c>
      <c r="T23" s="1">
        <v>41913</v>
      </c>
      <c r="U23" s="1">
        <v>42005</v>
      </c>
      <c r="V23" s="6">
        <v>3.22</v>
      </c>
      <c r="W23" s="3">
        <v>56911</v>
      </c>
      <c r="X23" s="4">
        <f t="shared" si="2"/>
        <v>-2.57</v>
      </c>
    </row>
    <row r="24" spans="1:24" x14ac:dyDescent="0.25">
      <c r="A24" s="1">
        <v>42005</v>
      </c>
      <c r="B24" s="1">
        <v>42095</v>
      </c>
      <c r="C24" s="6">
        <v>0.04</v>
      </c>
      <c r="D24" s="6">
        <v>-0.7</v>
      </c>
      <c r="E24" s="6">
        <v>3.04</v>
      </c>
      <c r="F24" s="6">
        <v>2.12</v>
      </c>
      <c r="H24" s="13">
        <v>42005</v>
      </c>
      <c r="I24" s="14">
        <v>42095</v>
      </c>
      <c r="J24" s="15">
        <v>-0.89</v>
      </c>
      <c r="K24" s="16">
        <v>223565</v>
      </c>
      <c r="L24" s="19">
        <f t="shared" si="0"/>
        <v>-0.19000000000000006</v>
      </c>
      <c r="N24" s="1">
        <v>42005</v>
      </c>
      <c r="O24" s="1">
        <v>42095</v>
      </c>
      <c r="P24" s="6">
        <v>-1.86</v>
      </c>
      <c r="Q24" s="3">
        <v>283349</v>
      </c>
      <c r="R24" s="4">
        <f t="shared" si="1"/>
        <v>-3.9800000000000004</v>
      </c>
      <c r="T24" s="1">
        <v>42005</v>
      </c>
      <c r="U24" s="1">
        <v>42095</v>
      </c>
      <c r="V24" s="6">
        <v>1.93</v>
      </c>
      <c r="W24" s="3">
        <v>58011</v>
      </c>
      <c r="X24" s="4">
        <f t="shared" si="2"/>
        <v>1.89</v>
      </c>
    </row>
    <row r="25" spans="1:24" x14ac:dyDescent="0.25">
      <c r="A25" s="1">
        <v>42095</v>
      </c>
      <c r="B25" s="1">
        <v>42186</v>
      </c>
      <c r="C25" s="6">
        <v>0.86</v>
      </c>
      <c r="D25" s="6">
        <v>0.34</v>
      </c>
      <c r="E25" s="6">
        <v>2.72</v>
      </c>
      <c r="F25" s="6">
        <v>-2.6</v>
      </c>
      <c r="H25" s="13">
        <v>42095</v>
      </c>
      <c r="I25" s="14">
        <v>42186</v>
      </c>
      <c r="J25" s="15">
        <v>0.89</v>
      </c>
      <c r="K25" s="16">
        <v>213006</v>
      </c>
      <c r="L25" s="19">
        <f t="shared" si="0"/>
        <v>0.55000000000000004</v>
      </c>
      <c r="N25" s="1">
        <v>42095</v>
      </c>
      <c r="O25" s="1">
        <v>42186</v>
      </c>
      <c r="P25" s="6">
        <v>1.55</v>
      </c>
      <c r="Q25" s="3">
        <v>264138</v>
      </c>
      <c r="R25" s="4">
        <f t="shared" si="1"/>
        <v>4.1500000000000004</v>
      </c>
      <c r="T25" s="1">
        <v>42095</v>
      </c>
      <c r="U25" s="1">
        <v>42186</v>
      </c>
      <c r="V25" s="6">
        <v>-0.04</v>
      </c>
      <c r="W25" s="3">
        <v>57989</v>
      </c>
      <c r="X25" s="4">
        <f t="shared" si="2"/>
        <v>-0.9</v>
      </c>
    </row>
    <row r="26" spans="1:24" x14ac:dyDescent="0.25">
      <c r="A26" s="1">
        <v>42186</v>
      </c>
      <c r="B26" s="1">
        <v>42278</v>
      </c>
      <c r="C26" s="6">
        <v>-7.39</v>
      </c>
      <c r="D26" s="6">
        <v>-8.3699999999999992</v>
      </c>
      <c r="E26" s="6">
        <v>-7.7</v>
      </c>
      <c r="F26" s="6">
        <v>-9.01</v>
      </c>
      <c r="H26" s="13">
        <v>42186</v>
      </c>
      <c r="I26" s="14">
        <v>42278</v>
      </c>
      <c r="J26" s="15">
        <v>-6</v>
      </c>
      <c r="K26" s="16">
        <v>208712</v>
      </c>
      <c r="L26" s="19">
        <f t="shared" si="0"/>
        <v>2.3699999999999992</v>
      </c>
      <c r="N26" s="1">
        <v>42186</v>
      </c>
      <c r="O26" s="1">
        <v>42278</v>
      </c>
      <c r="P26" s="6">
        <v>-6.25</v>
      </c>
      <c r="Q26" s="3">
        <v>255920</v>
      </c>
      <c r="R26" s="4">
        <f t="shared" si="1"/>
        <v>2.76</v>
      </c>
      <c r="T26" s="1">
        <v>42186</v>
      </c>
      <c r="U26" s="1">
        <v>42278</v>
      </c>
      <c r="V26" s="6">
        <v>-6.7</v>
      </c>
      <c r="W26" s="3">
        <v>74824</v>
      </c>
      <c r="X26" s="4">
        <f t="shared" si="2"/>
        <v>0.6899999999999995</v>
      </c>
    </row>
    <row r="27" spans="1:24" x14ac:dyDescent="0.25">
      <c r="A27" s="1">
        <v>42278</v>
      </c>
      <c r="B27" s="1">
        <v>42370</v>
      </c>
      <c r="C27" s="6">
        <v>6.24</v>
      </c>
      <c r="D27" s="6">
        <v>7.09</v>
      </c>
      <c r="E27" s="6">
        <v>8.2200000000000006</v>
      </c>
      <c r="F27" s="6">
        <v>-1.75</v>
      </c>
      <c r="H27" s="13">
        <v>42278</v>
      </c>
      <c r="I27" s="14">
        <v>42370</v>
      </c>
      <c r="J27" s="15">
        <v>2.68</v>
      </c>
      <c r="K27" s="16">
        <v>191191</v>
      </c>
      <c r="L27" s="19">
        <f t="shared" si="0"/>
        <v>-4.41</v>
      </c>
      <c r="N27" s="1">
        <v>42278</v>
      </c>
      <c r="O27" s="1">
        <v>42370</v>
      </c>
      <c r="P27" s="6">
        <v>1.88</v>
      </c>
      <c r="Q27" s="3">
        <v>235510</v>
      </c>
      <c r="R27" s="4">
        <f t="shared" si="1"/>
        <v>3.63</v>
      </c>
      <c r="T27" s="1">
        <v>42278</v>
      </c>
      <c r="U27" s="1">
        <v>42370</v>
      </c>
      <c r="V27" s="6">
        <v>0.6</v>
      </c>
      <c r="W27" s="3">
        <v>75273</v>
      </c>
      <c r="X27" s="4">
        <f t="shared" si="2"/>
        <v>-5.6400000000000006</v>
      </c>
    </row>
    <row r="28" spans="1:24" x14ac:dyDescent="0.25">
      <c r="A28" s="1">
        <v>42370</v>
      </c>
      <c r="B28" s="1">
        <v>42461</v>
      </c>
      <c r="C28" s="6">
        <v>1.41</v>
      </c>
      <c r="D28" s="6">
        <v>2.11</v>
      </c>
      <c r="E28" s="6">
        <v>-1.85</v>
      </c>
      <c r="F28" s="6">
        <v>3.31</v>
      </c>
      <c r="H28" s="13">
        <v>42370</v>
      </c>
      <c r="I28" s="14">
        <v>42461</v>
      </c>
      <c r="J28" s="15">
        <v>-1.41</v>
      </c>
      <c r="K28" s="16">
        <v>183467</v>
      </c>
      <c r="L28" s="19">
        <f t="shared" si="0"/>
        <v>-3.5199999999999996</v>
      </c>
      <c r="N28" s="1">
        <v>42370</v>
      </c>
      <c r="O28" s="1">
        <v>42461</v>
      </c>
      <c r="P28" s="6">
        <v>-0.53</v>
      </c>
      <c r="Q28" s="3">
        <v>227135</v>
      </c>
      <c r="R28" s="4">
        <f t="shared" si="1"/>
        <v>-3.84</v>
      </c>
      <c r="T28" s="1">
        <v>42370</v>
      </c>
      <c r="U28" s="1">
        <v>42461</v>
      </c>
      <c r="V28" s="6">
        <v>-0.25</v>
      </c>
      <c r="W28" s="3">
        <v>75087</v>
      </c>
      <c r="X28" s="4">
        <f t="shared" si="2"/>
        <v>-1.66</v>
      </c>
    </row>
    <row r="29" spans="1:24" x14ac:dyDescent="0.25">
      <c r="A29" s="1">
        <v>42461</v>
      </c>
      <c r="B29" s="1">
        <v>42552</v>
      </c>
      <c r="C29" s="6">
        <v>1.46</v>
      </c>
      <c r="D29" s="6">
        <v>0.88</v>
      </c>
      <c r="E29" s="6">
        <v>-1.06</v>
      </c>
      <c r="F29" s="6">
        <v>4.6399999999999997</v>
      </c>
      <c r="H29" s="13">
        <v>42461</v>
      </c>
      <c r="I29" s="14">
        <v>42552</v>
      </c>
      <c r="J29" s="15">
        <v>3.03</v>
      </c>
      <c r="K29" s="16">
        <v>207247</v>
      </c>
      <c r="L29" s="19">
        <f t="shared" si="0"/>
        <v>2.15</v>
      </c>
      <c r="N29" s="1">
        <v>42461</v>
      </c>
      <c r="O29" s="1">
        <v>42552</v>
      </c>
      <c r="P29" s="6">
        <v>3.02</v>
      </c>
      <c r="Q29" s="3">
        <v>266413</v>
      </c>
      <c r="R29" s="4">
        <f t="shared" si="1"/>
        <v>-1.6199999999999997</v>
      </c>
      <c r="T29" s="1">
        <v>42461</v>
      </c>
      <c r="U29" s="1">
        <v>42552</v>
      </c>
      <c r="V29" s="6">
        <v>-2.4500000000000002</v>
      </c>
      <c r="W29" s="3">
        <v>73248</v>
      </c>
      <c r="X29" s="4">
        <f t="shared" si="2"/>
        <v>-3.91</v>
      </c>
    </row>
    <row r="30" spans="1:24" x14ac:dyDescent="0.25">
      <c r="A30" s="1">
        <v>42552</v>
      </c>
      <c r="B30" s="1">
        <v>42644</v>
      </c>
      <c r="C30" s="6">
        <v>3.11</v>
      </c>
      <c r="D30" s="6">
        <v>2</v>
      </c>
      <c r="E30" s="6">
        <v>9.24</v>
      </c>
      <c r="F30" s="6">
        <v>4.7</v>
      </c>
      <c r="H30" s="13">
        <v>42552</v>
      </c>
      <c r="I30" s="14">
        <v>42644</v>
      </c>
      <c r="J30" s="15">
        <v>4.34</v>
      </c>
      <c r="K30" s="16">
        <v>255346</v>
      </c>
      <c r="L30" s="19">
        <f t="shared" si="0"/>
        <v>2.34</v>
      </c>
      <c r="N30" s="1">
        <v>42552</v>
      </c>
      <c r="O30" s="1">
        <v>42644</v>
      </c>
      <c r="P30" s="6">
        <v>4.29</v>
      </c>
      <c r="Q30" s="3">
        <v>333011</v>
      </c>
      <c r="R30" s="4">
        <f t="shared" si="1"/>
        <v>-0.41000000000000014</v>
      </c>
      <c r="T30" s="1">
        <v>42552</v>
      </c>
      <c r="U30" s="1">
        <v>42644</v>
      </c>
      <c r="V30" s="6">
        <v>6.92</v>
      </c>
      <c r="W30" s="3">
        <v>78314</v>
      </c>
      <c r="X30" s="4">
        <f t="shared" si="2"/>
        <v>3.81</v>
      </c>
    </row>
    <row r="31" spans="1:24" x14ac:dyDescent="0.25">
      <c r="A31" s="1">
        <v>42644</v>
      </c>
      <c r="B31" s="1">
        <v>42736</v>
      </c>
      <c r="C31" s="6">
        <v>3.25</v>
      </c>
      <c r="D31" s="6">
        <v>7.94</v>
      </c>
      <c r="E31" s="6">
        <v>1.34</v>
      </c>
      <c r="F31" s="6">
        <v>3.81</v>
      </c>
      <c r="H31" s="13">
        <v>42644</v>
      </c>
      <c r="I31" s="14">
        <v>42736</v>
      </c>
      <c r="J31" s="15">
        <v>2.19</v>
      </c>
      <c r="K31" s="16">
        <v>260930</v>
      </c>
      <c r="L31" s="19">
        <f t="shared" si="0"/>
        <v>-5.75</v>
      </c>
      <c r="N31" s="1">
        <v>42644</v>
      </c>
      <c r="O31" s="1">
        <v>42736</v>
      </c>
      <c r="P31" s="6">
        <v>2.12</v>
      </c>
      <c r="Q31" s="3">
        <v>347784</v>
      </c>
      <c r="R31" s="4">
        <f t="shared" si="1"/>
        <v>-1.69</v>
      </c>
      <c r="T31" s="1">
        <v>42644</v>
      </c>
      <c r="U31" s="1">
        <v>42736</v>
      </c>
      <c r="V31" s="6">
        <v>3.67</v>
      </c>
      <c r="W31" s="3">
        <v>81188</v>
      </c>
      <c r="X31" s="4">
        <f t="shared" si="2"/>
        <v>0.41999999999999993</v>
      </c>
    </row>
    <row r="32" spans="1:24" x14ac:dyDescent="0.25">
      <c r="A32" s="1">
        <v>42736</v>
      </c>
      <c r="B32" s="1">
        <v>42826</v>
      </c>
      <c r="C32" s="6">
        <v>5.53</v>
      </c>
      <c r="D32" s="6">
        <v>4.5599999999999996</v>
      </c>
      <c r="E32" s="6">
        <v>9.82</v>
      </c>
      <c r="F32" s="6">
        <v>1.7</v>
      </c>
      <c r="H32" s="13">
        <v>42736</v>
      </c>
      <c r="I32" s="14">
        <v>42826</v>
      </c>
      <c r="J32" s="15">
        <v>3.73</v>
      </c>
      <c r="K32" s="16">
        <v>282245</v>
      </c>
      <c r="L32" s="19">
        <f t="shared" si="0"/>
        <v>-0.82999999999999963</v>
      </c>
      <c r="N32" s="1">
        <v>42736</v>
      </c>
      <c r="O32" s="1">
        <v>42826</v>
      </c>
      <c r="P32" s="6">
        <v>3.58</v>
      </c>
      <c r="Q32" s="3">
        <v>376158</v>
      </c>
      <c r="R32" s="4">
        <f t="shared" si="1"/>
        <v>1.8800000000000001</v>
      </c>
      <c r="T32" s="1">
        <v>42736</v>
      </c>
      <c r="U32" s="1">
        <v>42826</v>
      </c>
      <c r="V32" s="6">
        <v>10.74</v>
      </c>
      <c r="W32" s="3">
        <v>89907</v>
      </c>
      <c r="X32" s="4">
        <f t="shared" si="2"/>
        <v>5.21</v>
      </c>
    </row>
    <row r="33" spans="1:24" x14ac:dyDescent="0.25">
      <c r="A33" s="1">
        <v>42826</v>
      </c>
      <c r="B33" s="1">
        <v>42917</v>
      </c>
      <c r="C33" s="6">
        <v>2.57</v>
      </c>
      <c r="D33" s="6">
        <v>3.32</v>
      </c>
      <c r="E33" s="6">
        <v>3.87</v>
      </c>
      <c r="F33" s="6">
        <v>-2.35</v>
      </c>
      <c r="H33" s="13">
        <v>42826</v>
      </c>
      <c r="I33" s="14">
        <v>42917</v>
      </c>
      <c r="J33" s="15">
        <v>0.79</v>
      </c>
      <c r="K33" s="16">
        <v>284484</v>
      </c>
      <c r="L33" s="19">
        <f t="shared" si="0"/>
        <v>-2.5299999999999998</v>
      </c>
      <c r="N33" s="1">
        <v>42826</v>
      </c>
      <c r="O33" s="1">
        <v>42917</v>
      </c>
      <c r="P33" s="6">
        <v>0.89</v>
      </c>
      <c r="Q33" s="3">
        <v>379491</v>
      </c>
      <c r="R33" s="4">
        <f t="shared" si="1"/>
        <v>3.24</v>
      </c>
      <c r="T33" s="1">
        <v>42826</v>
      </c>
      <c r="U33" s="1">
        <v>42917</v>
      </c>
      <c r="V33" s="6">
        <v>0.83</v>
      </c>
      <c r="W33" s="3">
        <v>100497</v>
      </c>
      <c r="X33" s="4">
        <f t="shared" si="2"/>
        <v>-1.7399999999999998</v>
      </c>
    </row>
    <row r="34" spans="1:24" x14ac:dyDescent="0.25">
      <c r="A34" s="1">
        <v>42917</v>
      </c>
      <c r="B34" s="1">
        <v>43009</v>
      </c>
      <c r="C34" s="6">
        <v>3.96</v>
      </c>
      <c r="D34" s="6">
        <v>4.9400000000000004</v>
      </c>
      <c r="E34" s="6">
        <v>5.79</v>
      </c>
      <c r="F34" s="6">
        <v>2.98</v>
      </c>
      <c r="H34" s="13">
        <v>42917</v>
      </c>
      <c r="I34" s="14">
        <v>43009</v>
      </c>
      <c r="J34" s="15">
        <v>1.59</v>
      </c>
      <c r="K34" s="16">
        <v>272736</v>
      </c>
      <c r="L34" s="19">
        <f t="shared" si="0"/>
        <v>-3.3500000000000005</v>
      </c>
      <c r="N34" s="1">
        <v>42917</v>
      </c>
      <c r="O34" s="1">
        <v>43009</v>
      </c>
      <c r="P34" s="6">
        <v>1.68</v>
      </c>
      <c r="Q34" s="3">
        <v>369594</v>
      </c>
      <c r="R34" s="4">
        <f t="shared" si="1"/>
        <v>-1.3</v>
      </c>
      <c r="T34" s="1">
        <v>42917</v>
      </c>
      <c r="U34" s="1">
        <v>43009</v>
      </c>
      <c r="V34" s="6">
        <v>2.71</v>
      </c>
      <c r="W34" s="3">
        <v>103220</v>
      </c>
      <c r="X34" s="4">
        <f t="shared" si="2"/>
        <v>-1.25</v>
      </c>
    </row>
    <row r="35" spans="1:24" x14ac:dyDescent="0.25">
      <c r="H35" s="13"/>
      <c r="I35" s="14"/>
      <c r="J35" s="15"/>
      <c r="K35" s="16"/>
      <c r="L35" s="19" t="str">
        <f t="shared" si="0"/>
        <v/>
      </c>
      <c r="R35" s="4" t="str">
        <f t="shared" si="1"/>
        <v/>
      </c>
      <c r="X35" s="4" t="str">
        <f t="shared" si="2"/>
        <v/>
      </c>
    </row>
    <row r="36" spans="1:24" x14ac:dyDescent="0.25">
      <c r="H36" s="13"/>
      <c r="I36" s="14"/>
      <c r="J36" s="15"/>
      <c r="K36" s="16"/>
      <c r="L36" s="19" t="str">
        <f t="shared" si="0"/>
        <v/>
      </c>
      <c r="R36" s="4" t="str">
        <f t="shared" si="1"/>
        <v/>
      </c>
      <c r="X36" s="4" t="str">
        <f t="shared" si="2"/>
        <v/>
      </c>
    </row>
    <row r="37" spans="1:24" x14ac:dyDescent="0.25">
      <c r="H37" s="13"/>
      <c r="I37" s="14"/>
      <c r="J37" s="15"/>
      <c r="K37" s="16"/>
      <c r="L37" s="19" t="str">
        <f t="shared" si="0"/>
        <v/>
      </c>
      <c r="R37" s="4" t="str">
        <f t="shared" si="1"/>
        <v/>
      </c>
      <c r="X37" s="4" t="str">
        <f t="shared" si="2"/>
        <v/>
      </c>
    </row>
    <row r="38" spans="1:24" x14ac:dyDescent="0.25">
      <c r="H38" s="13"/>
      <c r="I38" s="14"/>
      <c r="J38" s="15"/>
      <c r="K38" s="16"/>
      <c r="L38" s="19" t="str">
        <f t="shared" si="0"/>
        <v/>
      </c>
      <c r="R38" s="4" t="str">
        <f t="shared" si="1"/>
        <v/>
      </c>
      <c r="X38" s="4" t="str">
        <f t="shared" si="2"/>
        <v/>
      </c>
    </row>
    <row r="39" spans="1:24" x14ac:dyDescent="0.25">
      <c r="H39" s="13"/>
      <c r="I39" s="14"/>
      <c r="J39" s="15"/>
      <c r="K39" s="16"/>
      <c r="L39" s="19" t="str">
        <f t="shared" si="0"/>
        <v/>
      </c>
      <c r="R39" s="4" t="str">
        <f t="shared" si="1"/>
        <v/>
      </c>
      <c r="X39" s="4" t="str">
        <f t="shared" si="2"/>
        <v/>
      </c>
    </row>
    <row r="40" spans="1:24" x14ac:dyDescent="0.25">
      <c r="H40" s="13"/>
      <c r="I40" s="14"/>
      <c r="J40" s="15"/>
      <c r="K40" s="16"/>
      <c r="L40" s="19" t="str">
        <f t="shared" si="0"/>
        <v/>
      </c>
      <c r="R40" s="4" t="str">
        <f t="shared" si="1"/>
        <v/>
      </c>
      <c r="X40" s="4" t="str">
        <f t="shared" si="2"/>
        <v/>
      </c>
    </row>
    <row r="41" spans="1:24" x14ac:dyDescent="0.25">
      <c r="H41" s="13"/>
      <c r="I41" s="14"/>
      <c r="J41" s="15"/>
      <c r="K41" s="16"/>
      <c r="L41" s="19" t="str">
        <f t="shared" si="0"/>
        <v/>
      </c>
      <c r="R41" s="4" t="str">
        <f t="shared" si="1"/>
        <v/>
      </c>
      <c r="X41" s="4" t="str">
        <f t="shared" si="2"/>
        <v/>
      </c>
    </row>
    <row r="42" spans="1:24" x14ac:dyDescent="0.25">
      <c r="H42" s="13"/>
      <c r="I42" s="14"/>
      <c r="J42" s="15"/>
      <c r="K42" s="16"/>
      <c r="L42" s="19" t="str">
        <f t="shared" si="0"/>
        <v/>
      </c>
      <c r="R42" s="4" t="str">
        <f t="shared" si="1"/>
        <v/>
      </c>
      <c r="X42" s="4" t="str">
        <f t="shared" si="2"/>
        <v/>
      </c>
    </row>
    <row r="43" spans="1:24" x14ac:dyDescent="0.25">
      <c r="H43" s="13"/>
      <c r="I43" s="14"/>
      <c r="J43" s="15"/>
      <c r="K43" s="16"/>
      <c r="L43" s="19" t="str">
        <f t="shared" si="0"/>
        <v/>
      </c>
      <c r="R43" s="4" t="str">
        <f t="shared" si="1"/>
        <v/>
      </c>
      <c r="X43" s="4" t="str">
        <f t="shared" si="2"/>
        <v/>
      </c>
    </row>
    <row r="44" spans="1:24" x14ac:dyDescent="0.25">
      <c r="H44" s="13"/>
      <c r="I44" s="14"/>
      <c r="J44" s="15"/>
      <c r="K44" s="16"/>
      <c r="L44" s="19" t="str">
        <f t="shared" si="0"/>
        <v/>
      </c>
      <c r="R44" s="4" t="str">
        <f t="shared" si="1"/>
        <v/>
      </c>
      <c r="X44" s="4" t="str">
        <f t="shared" si="2"/>
        <v/>
      </c>
    </row>
    <row r="45" spans="1:24" x14ac:dyDescent="0.25">
      <c r="H45" s="13"/>
      <c r="I45" s="14"/>
      <c r="J45" s="15"/>
      <c r="K45" s="16"/>
      <c r="L45" s="19" t="str">
        <f t="shared" si="0"/>
        <v/>
      </c>
      <c r="R45" s="4" t="str">
        <f t="shared" si="1"/>
        <v/>
      </c>
      <c r="X45" s="4" t="str">
        <f t="shared" si="2"/>
        <v/>
      </c>
    </row>
    <row r="46" spans="1:24" x14ac:dyDescent="0.25">
      <c r="H46" s="13"/>
      <c r="I46" s="14"/>
      <c r="J46" s="15"/>
      <c r="K46" s="16"/>
      <c r="L46" s="19" t="str">
        <f t="shared" si="0"/>
        <v/>
      </c>
      <c r="R46" s="4" t="str">
        <f t="shared" si="1"/>
        <v/>
      </c>
      <c r="X46" s="4" t="str">
        <f t="shared" si="2"/>
        <v/>
      </c>
    </row>
    <row r="47" spans="1:24" x14ac:dyDescent="0.25">
      <c r="H47" s="13"/>
      <c r="I47" s="14"/>
      <c r="J47" s="15"/>
      <c r="K47" s="16"/>
      <c r="L47" s="19" t="str">
        <f t="shared" si="0"/>
        <v/>
      </c>
      <c r="R47" s="4" t="str">
        <f t="shared" si="1"/>
        <v/>
      </c>
      <c r="X47" s="4" t="str">
        <f t="shared" si="2"/>
        <v/>
      </c>
    </row>
    <row r="48" spans="1:24" x14ac:dyDescent="0.25">
      <c r="H48" s="13"/>
      <c r="I48" s="14"/>
      <c r="J48" s="15"/>
      <c r="K48" s="16"/>
      <c r="L48" s="19" t="str">
        <f t="shared" si="0"/>
        <v/>
      </c>
      <c r="R48" s="4" t="str">
        <f t="shared" si="1"/>
        <v/>
      </c>
      <c r="X48" s="4" t="str">
        <f t="shared" si="2"/>
        <v/>
      </c>
    </row>
    <row r="49" spans="8:24" x14ac:dyDescent="0.25">
      <c r="H49" s="13"/>
      <c r="I49" s="14"/>
      <c r="J49" s="15"/>
      <c r="K49" s="16"/>
      <c r="L49" s="19" t="str">
        <f t="shared" si="0"/>
        <v/>
      </c>
      <c r="R49" s="4" t="str">
        <f t="shared" si="1"/>
        <v/>
      </c>
      <c r="X49" s="4" t="str">
        <f t="shared" si="2"/>
        <v/>
      </c>
    </row>
    <row r="50" spans="8:24" x14ac:dyDescent="0.25">
      <c r="H50" s="13"/>
      <c r="I50" s="14"/>
      <c r="J50" s="15"/>
      <c r="K50" s="16"/>
      <c r="L50" s="19" t="str">
        <f t="shared" si="0"/>
        <v/>
      </c>
      <c r="R50" s="4" t="str">
        <f t="shared" si="1"/>
        <v/>
      </c>
      <c r="X50" s="4" t="str">
        <f t="shared" si="2"/>
        <v/>
      </c>
    </row>
    <row r="51" spans="8:24" x14ac:dyDescent="0.25">
      <c r="H51" s="13"/>
      <c r="I51" s="14"/>
      <c r="J51" s="15"/>
      <c r="K51" s="16"/>
      <c r="L51" s="19" t="str">
        <f t="shared" si="0"/>
        <v/>
      </c>
      <c r="R51" s="4" t="str">
        <f t="shared" si="1"/>
        <v/>
      </c>
      <c r="X51" s="4" t="str">
        <f t="shared" si="2"/>
        <v/>
      </c>
    </row>
    <row r="52" spans="8:24" x14ac:dyDescent="0.25">
      <c r="H52" s="13"/>
      <c r="I52" s="14"/>
      <c r="J52" s="15"/>
      <c r="K52" s="16"/>
      <c r="L52" s="19" t="str">
        <f t="shared" si="0"/>
        <v/>
      </c>
      <c r="R52" s="4" t="str">
        <f t="shared" si="1"/>
        <v/>
      </c>
      <c r="X52" s="4" t="str">
        <f t="shared" si="2"/>
        <v/>
      </c>
    </row>
    <row r="53" spans="8:24" x14ac:dyDescent="0.25">
      <c r="H53" s="13"/>
      <c r="I53" s="14"/>
      <c r="J53" s="15"/>
      <c r="K53" s="16"/>
      <c r="L53" s="19" t="str">
        <f t="shared" si="0"/>
        <v/>
      </c>
      <c r="R53" s="4" t="str">
        <f t="shared" si="1"/>
        <v/>
      </c>
      <c r="X53" s="4" t="str">
        <f t="shared" si="2"/>
        <v/>
      </c>
    </row>
    <row r="54" spans="8:24" x14ac:dyDescent="0.25">
      <c r="H54" s="13"/>
      <c r="I54" s="14"/>
      <c r="J54" s="15"/>
      <c r="K54" s="16"/>
      <c r="L54" s="19" t="str">
        <f t="shared" si="0"/>
        <v/>
      </c>
      <c r="R54" s="4" t="str">
        <f t="shared" si="1"/>
        <v/>
      </c>
      <c r="X54" s="4" t="str">
        <f t="shared" si="2"/>
        <v/>
      </c>
    </row>
    <row r="55" spans="8:24" x14ac:dyDescent="0.25">
      <c r="H55" s="13"/>
      <c r="I55" s="14"/>
      <c r="J55" s="15"/>
      <c r="K55" s="16"/>
      <c r="L55" s="19" t="str">
        <f t="shared" si="0"/>
        <v/>
      </c>
      <c r="R55" s="4" t="str">
        <f t="shared" si="1"/>
        <v/>
      </c>
      <c r="X55" s="4" t="str">
        <f t="shared" si="2"/>
        <v/>
      </c>
    </row>
    <row r="56" spans="8:24" x14ac:dyDescent="0.25">
      <c r="H56" s="13"/>
      <c r="I56" s="14"/>
      <c r="J56" s="15"/>
      <c r="K56" s="16"/>
      <c r="L56" s="19" t="str">
        <f t="shared" si="0"/>
        <v/>
      </c>
      <c r="R56" s="4" t="str">
        <f t="shared" si="1"/>
        <v/>
      </c>
      <c r="X56" s="4" t="str">
        <f t="shared" si="2"/>
        <v/>
      </c>
    </row>
    <row r="57" spans="8:24" x14ac:dyDescent="0.25">
      <c r="H57" s="13"/>
      <c r="I57" s="14"/>
      <c r="J57" s="15"/>
      <c r="K57" s="16"/>
      <c r="L57" s="19" t="str">
        <f t="shared" si="0"/>
        <v/>
      </c>
      <c r="R57" s="4" t="str">
        <f t="shared" si="1"/>
        <v/>
      </c>
      <c r="X57" s="4" t="str">
        <f t="shared" si="2"/>
        <v/>
      </c>
    </row>
    <row r="58" spans="8:24" x14ac:dyDescent="0.25">
      <c r="H58" s="13"/>
      <c r="I58" s="14"/>
      <c r="J58" s="15"/>
      <c r="K58" s="16"/>
      <c r="L58" s="19" t="str">
        <f t="shared" si="0"/>
        <v/>
      </c>
      <c r="R58" s="4" t="str">
        <f t="shared" si="1"/>
        <v/>
      </c>
      <c r="X58" s="4" t="str">
        <f t="shared" si="2"/>
        <v/>
      </c>
    </row>
    <row r="59" spans="8:24" x14ac:dyDescent="0.25">
      <c r="H59" s="13"/>
      <c r="I59" s="14"/>
      <c r="J59" s="15"/>
      <c r="K59" s="16"/>
      <c r="L59" s="19" t="str">
        <f t="shared" si="0"/>
        <v/>
      </c>
      <c r="R59" s="4" t="str">
        <f t="shared" si="1"/>
        <v/>
      </c>
      <c r="X59" s="4" t="str">
        <f t="shared" si="2"/>
        <v/>
      </c>
    </row>
    <row r="60" spans="8:24" x14ac:dyDescent="0.25">
      <c r="H60" s="13"/>
      <c r="I60" s="14"/>
      <c r="J60" s="15"/>
      <c r="K60" s="16"/>
      <c r="L60" s="19" t="str">
        <f t="shared" si="0"/>
        <v/>
      </c>
      <c r="R60" s="4" t="str">
        <f t="shared" si="1"/>
        <v/>
      </c>
      <c r="X60" s="4" t="str">
        <f t="shared" si="2"/>
        <v/>
      </c>
    </row>
    <row r="61" spans="8:24" x14ac:dyDescent="0.25">
      <c r="H61" s="13"/>
      <c r="I61" s="14"/>
      <c r="J61" s="15"/>
      <c r="K61" s="16"/>
      <c r="L61" s="19" t="str">
        <f t="shared" si="0"/>
        <v/>
      </c>
      <c r="R61" s="4" t="str">
        <f t="shared" si="1"/>
        <v/>
      </c>
      <c r="X61" s="4" t="str">
        <f t="shared" si="2"/>
        <v/>
      </c>
    </row>
    <row r="62" spans="8:24" x14ac:dyDescent="0.25">
      <c r="H62" s="13"/>
      <c r="I62" s="14"/>
      <c r="J62" s="15"/>
      <c r="K62" s="16"/>
      <c r="L62" s="19" t="str">
        <f t="shared" si="0"/>
        <v/>
      </c>
      <c r="R62" s="4" t="str">
        <f t="shared" si="1"/>
        <v/>
      </c>
      <c r="X62" s="4" t="str">
        <f t="shared" si="2"/>
        <v/>
      </c>
    </row>
    <row r="63" spans="8:24" x14ac:dyDescent="0.25">
      <c r="H63" s="13"/>
      <c r="I63" s="14"/>
      <c r="J63" s="15"/>
      <c r="K63" s="16"/>
      <c r="L63" s="19" t="str">
        <f t="shared" si="0"/>
        <v/>
      </c>
      <c r="R63" s="4" t="str">
        <f t="shared" si="1"/>
        <v/>
      </c>
      <c r="X63" s="4" t="str">
        <f t="shared" si="2"/>
        <v/>
      </c>
    </row>
    <row r="64" spans="8:24" x14ac:dyDescent="0.25">
      <c r="H64" s="13"/>
      <c r="I64" s="14"/>
      <c r="J64" s="15"/>
      <c r="K64" s="16"/>
      <c r="L64" s="19" t="str">
        <f t="shared" si="0"/>
        <v/>
      </c>
      <c r="R64" s="4" t="str">
        <f t="shared" si="1"/>
        <v/>
      </c>
      <c r="X64" s="4" t="str">
        <f t="shared" si="2"/>
        <v/>
      </c>
    </row>
    <row r="65" spans="8:24" x14ac:dyDescent="0.25">
      <c r="H65" s="13"/>
      <c r="I65" s="14"/>
      <c r="J65" s="15"/>
      <c r="K65" s="16"/>
      <c r="L65" s="19" t="str">
        <f t="shared" si="0"/>
        <v/>
      </c>
      <c r="R65" s="4" t="str">
        <f t="shared" si="1"/>
        <v/>
      </c>
      <c r="X65" s="4" t="str">
        <f t="shared" si="2"/>
        <v/>
      </c>
    </row>
    <row r="66" spans="8:24" x14ac:dyDescent="0.25">
      <c r="H66" s="13"/>
      <c r="I66" s="14"/>
      <c r="J66" s="15"/>
      <c r="K66" s="16"/>
      <c r="L66" s="19" t="str">
        <f t="shared" si="0"/>
        <v/>
      </c>
      <c r="R66" s="4" t="str">
        <f t="shared" si="1"/>
        <v/>
      </c>
      <c r="X66" s="4" t="str">
        <f t="shared" si="2"/>
        <v/>
      </c>
    </row>
    <row r="67" spans="8:24" x14ac:dyDescent="0.25">
      <c r="H67" s="13"/>
      <c r="I67" s="14"/>
      <c r="J67" s="15"/>
      <c r="K67" s="16"/>
      <c r="L67" s="19" t="str">
        <f t="shared" si="0"/>
        <v/>
      </c>
      <c r="R67" s="4" t="str">
        <f t="shared" si="1"/>
        <v/>
      </c>
      <c r="X67" s="4" t="str">
        <f t="shared" si="2"/>
        <v/>
      </c>
    </row>
    <row r="68" spans="8:24" x14ac:dyDescent="0.25">
      <c r="H68" s="13"/>
      <c r="I68" s="14"/>
      <c r="J68" s="15"/>
      <c r="K68" s="16"/>
      <c r="L68" s="19" t="str">
        <f t="shared" si="0"/>
        <v/>
      </c>
      <c r="R68" s="4" t="str">
        <f t="shared" si="1"/>
        <v/>
      </c>
      <c r="X68" s="4" t="str">
        <f t="shared" si="2"/>
        <v/>
      </c>
    </row>
    <row r="69" spans="8:24" x14ac:dyDescent="0.25">
      <c r="H69" s="13"/>
      <c r="I69" s="14"/>
      <c r="J69" s="15"/>
      <c r="K69" s="16"/>
      <c r="L69" s="19" t="str">
        <f t="shared" ref="L69:L88" si="3">IF(H69="","",J69-VLOOKUP(H69,$A:$F,MATCH($L$2,$A$2:$F$2,0),FALSE))</f>
        <v/>
      </c>
      <c r="R69" s="4" t="str">
        <f t="shared" ref="R69:R88" si="4">IF(N69="","",P69-VLOOKUP(N69,$A:$F,MATCH(R$2,$A$2:$F$2,0),FALSE))</f>
        <v/>
      </c>
      <c r="X69" s="4" t="str">
        <f t="shared" ref="X69:X88" si="5">IF(T69="","",V69-VLOOKUP(T69,$A:$F,MATCH(X$2,$A$2:$F$2,0),FALSE))</f>
        <v/>
      </c>
    </row>
    <row r="70" spans="8:24" x14ac:dyDescent="0.25">
      <c r="H70" s="13"/>
      <c r="I70" s="14"/>
      <c r="J70" s="15"/>
      <c r="K70" s="16"/>
      <c r="L70" s="19" t="str">
        <f t="shared" si="3"/>
        <v/>
      </c>
      <c r="R70" s="4" t="str">
        <f t="shared" si="4"/>
        <v/>
      </c>
      <c r="X70" s="4" t="str">
        <f t="shared" si="5"/>
        <v/>
      </c>
    </row>
    <row r="71" spans="8:24" x14ac:dyDescent="0.25">
      <c r="H71" s="13"/>
      <c r="I71" s="14"/>
      <c r="J71" s="15"/>
      <c r="K71" s="16"/>
      <c r="L71" s="19" t="str">
        <f t="shared" si="3"/>
        <v/>
      </c>
      <c r="R71" s="4" t="str">
        <f t="shared" si="4"/>
        <v/>
      </c>
      <c r="X71" s="4" t="str">
        <f t="shared" si="5"/>
        <v/>
      </c>
    </row>
    <row r="72" spans="8:24" x14ac:dyDescent="0.25">
      <c r="H72" s="13"/>
      <c r="I72" s="14"/>
      <c r="J72" s="15"/>
      <c r="K72" s="16"/>
      <c r="L72" s="19" t="str">
        <f t="shared" si="3"/>
        <v/>
      </c>
      <c r="R72" s="4" t="str">
        <f t="shared" si="4"/>
        <v/>
      </c>
      <c r="X72" s="4" t="str">
        <f t="shared" si="5"/>
        <v/>
      </c>
    </row>
    <row r="73" spans="8:24" x14ac:dyDescent="0.25">
      <c r="H73" s="13"/>
      <c r="I73" s="14"/>
      <c r="J73" s="15"/>
      <c r="K73" s="16"/>
      <c r="L73" s="19" t="str">
        <f t="shared" si="3"/>
        <v/>
      </c>
      <c r="R73" s="4" t="str">
        <f t="shared" si="4"/>
        <v/>
      </c>
      <c r="X73" s="4" t="str">
        <f t="shared" si="5"/>
        <v/>
      </c>
    </row>
    <row r="74" spans="8:24" x14ac:dyDescent="0.25">
      <c r="H74" s="13"/>
      <c r="I74" s="14"/>
      <c r="J74" s="15"/>
      <c r="K74" s="16"/>
      <c r="L74" s="19" t="str">
        <f t="shared" si="3"/>
        <v/>
      </c>
      <c r="R74" s="4" t="str">
        <f t="shared" si="4"/>
        <v/>
      </c>
      <c r="X74" s="4" t="str">
        <f t="shared" si="5"/>
        <v/>
      </c>
    </row>
    <row r="75" spans="8:24" x14ac:dyDescent="0.25">
      <c r="H75" s="13"/>
      <c r="I75" s="14"/>
      <c r="J75" s="15"/>
      <c r="K75" s="16"/>
      <c r="L75" s="19" t="str">
        <f t="shared" si="3"/>
        <v/>
      </c>
      <c r="R75" s="4" t="str">
        <f t="shared" si="4"/>
        <v/>
      </c>
      <c r="X75" s="4" t="str">
        <f t="shared" si="5"/>
        <v/>
      </c>
    </row>
    <row r="76" spans="8:24" x14ac:dyDescent="0.25">
      <c r="H76" s="13"/>
      <c r="I76" s="14"/>
      <c r="J76" s="15"/>
      <c r="K76" s="16"/>
      <c r="L76" s="19" t="str">
        <f t="shared" si="3"/>
        <v/>
      </c>
      <c r="R76" s="4" t="str">
        <f t="shared" si="4"/>
        <v/>
      </c>
      <c r="X76" s="4" t="str">
        <f t="shared" si="5"/>
        <v/>
      </c>
    </row>
    <row r="77" spans="8:24" x14ac:dyDescent="0.25">
      <c r="H77" s="13"/>
      <c r="I77" s="14"/>
      <c r="J77" s="15"/>
      <c r="K77" s="16"/>
      <c r="L77" s="19" t="str">
        <f t="shared" si="3"/>
        <v/>
      </c>
      <c r="R77" s="4" t="str">
        <f t="shared" si="4"/>
        <v/>
      </c>
      <c r="X77" s="4" t="str">
        <f t="shared" si="5"/>
        <v/>
      </c>
    </row>
    <row r="78" spans="8:24" x14ac:dyDescent="0.25">
      <c r="H78" s="13"/>
      <c r="I78" s="14"/>
      <c r="J78" s="15"/>
      <c r="K78" s="16"/>
      <c r="L78" s="19" t="str">
        <f t="shared" si="3"/>
        <v/>
      </c>
      <c r="R78" s="4" t="str">
        <f t="shared" si="4"/>
        <v/>
      </c>
      <c r="X78" s="4" t="str">
        <f t="shared" si="5"/>
        <v/>
      </c>
    </row>
    <row r="79" spans="8:24" x14ac:dyDescent="0.25">
      <c r="H79" s="13"/>
      <c r="I79" s="14"/>
      <c r="J79" s="15"/>
      <c r="K79" s="16"/>
      <c r="L79" s="19" t="str">
        <f t="shared" si="3"/>
        <v/>
      </c>
      <c r="R79" s="4" t="str">
        <f t="shared" si="4"/>
        <v/>
      </c>
      <c r="X79" s="4" t="str">
        <f t="shared" si="5"/>
        <v/>
      </c>
    </row>
    <row r="80" spans="8:24" x14ac:dyDescent="0.25">
      <c r="H80" s="13"/>
      <c r="I80" s="14"/>
      <c r="J80" s="15"/>
      <c r="K80" s="16"/>
      <c r="L80" s="19" t="str">
        <f t="shared" si="3"/>
        <v/>
      </c>
      <c r="R80" s="4" t="str">
        <f t="shared" si="4"/>
        <v/>
      </c>
      <c r="X80" s="4" t="str">
        <f t="shared" si="5"/>
        <v/>
      </c>
    </row>
    <row r="81" spans="8:24" x14ac:dyDescent="0.25">
      <c r="H81" s="13"/>
      <c r="I81" s="14"/>
      <c r="J81" s="15"/>
      <c r="K81" s="16"/>
      <c r="L81" s="19" t="str">
        <f t="shared" si="3"/>
        <v/>
      </c>
      <c r="R81" s="4" t="str">
        <f t="shared" si="4"/>
        <v/>
      </c>
      <c r="X81" s="4" t="str">
        <f t="shared" si="5"/>
        <v/>
      </c>
    </row>
    <row r="82" spans="8:24" x14ac:dyDescent="0.25">
      <c r="H82" s="13"/>
      <c r="I82" s="14"/>
      <c r="J82" s="15"/>
      <c r="K82" s="16"/>
      <c r="L82" s="19" t="str">
        <f t="shared" si="3"/>
        <v/>
      </c>
      <c r="R82" s="4" t="str">
        <f t="shared" si="4"/>
        <v/>
      </c>
      <c r="X82" s="4" t="str">
        <f t="shared" si="5"/>
        <v/>
      </c>
    </row>
    <row r="83" spans="8:24" x14ac:dyDescent="0.25">
      <c r="H83" s="13"/>
      <c r="I83" s="14"/>
      <c r="J83" s="15"/>
      <c r="K83" s="16"/>
      <c r="L83" s="19" t="str">
        <f t="shared" si="3"/>
        <v/>
      </c>
      <c r="R83" s="4" t="str">
        <f t="shared" si="4"/>
        <v/>
      </c>
      <c r="X83" s="4" t="str">
        <f t="shared" si="5"/>
        <v/>
      </c>
    </row>
    <row r="84" spans="8:24" x14ac:dyDescent="0.25">
      <c r="H84" s="13"/>
      <c r="I84" s="14"/>
      <c r="J84" s="15"/>
      <c r="K84" s="16"/>
      <c r="L84" s="19" t="str">
        <f t="shared" si="3"/>
        <v/>
      </c>
      <c r="R84" s="4" t="str">
        <f t="shared" si="4"/>
        <v/>
      </c>
      <c r="X84" s="4" t="str">
        <f t="shared" si="5"/>
        <v/>
      </c>
    </row>
    <row r="85" spans="8:24" x14ac:dyDescent="0.25">
      <c r="H85" s="13"/>
      <c r="I85" s="14"/>
      <c r="J85" s="15"/>
      <c r="K85" s="16"/>
      <c r="L85" s="19" t="str">
        <f t="shared" si="3"/>
        <v/>
      </c>
      <c r="R85" s="4" t="str">
        <f t="shared" si="4"/>
        <v/>
      </c>
      <c r="X85" s="4" t="str">
        <f t="shared" si="5"/>
        <v/>
      </c>
    </row>
    <row r="86" spans="8:24" x14ac:dyDescent="0.25">
      <c r="H86" s="13"/>
      <c r="I86" s="14"/>
      <c r="J86" s="15"/>
      <c r="K86" s="16"/>
      <c r="L86" s="19" t="str">
        <f t="shared" si="3"/>
        <v/>
      </c>
      <c r="R86" s="4" t="str">
        <f t="shared" si="4"/>
        <v/>
      </c>
      <c r="X86" s="4" t="str">
        <f t="shared" si="5"/>
        <v/>
      </c>
    </row>
    <row r="87" spans="8:24" x14ac:dyDescent="0.25">
      <c r="H87" s="13"/>
      <c r="I87" s="14"/>
      <c r="J87" s="15"/>
      <c r="K87" s="16"/>
      <c r="L87" s="19" t="str">
        <f t="shared" si="3"/>
        <v/>
      </c>
      <c r="R87" s="4" t="str">
        <f t="shared" si="4"/>
        <v/>
      </c>
      <c r="X87" s="4" t="str">
        <f t="shared" si="5"/>
        <v/>
      </c>
    </row>
    <row r="88" spans="8:24" x14ac:dyDescent="0.25">
      <c r="H88" s="20"/>
      <c r="I88" s="21"/>
      <c r="J88" s="22"/>
      <c r="K88" s="23"/>
      <c r="L88" s="24" t="str">
        <f t="shared" si="3"/>
        <v/>
      </c>
      <c r="R88" s="4" t="str">
        <f t="shared" si="4"/>
        <v/>
      </c>
      <c r="X88" s="4" t="str">
        <f t="shared" si="5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RRSP</vt:lpstr>
      <vt:lpstr>Compare</vt:lpstr>
    </vt:vector>
  </TitlesOfParts>
  <Company>Bank of Nova Scotia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 Lai (Scotiabank GBM)</dc:creator>
  <cp:lastModifiedBy>Calvin Lai (Scotiabank GBM)</cp:lastModifiedBy>
  <dcterms:created xsi:type="dcterms:W3CDTF">2017-10-03T15:30:15Z</dcterms:created>
  <dcterms:modified xsi:type="dcterms:W3CDTF">2017-10-03T18:27:14Z</dcterms:modified>
</cp:coreProperties>
</file>